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son\Documents\My HTML\PETERSON\iowafastpitch\Voting Platform\"/>
    </mc:Choice>
  </mc:AlternateContent>
  <bookViews>
    <workbookView xWindow="0" yWindow="0" windowWidth="19200" windowHeight="11475"/>
  </bookViews>
  <sheets>
    <sheet name="Iowa Men's Fastpitch Summary" sheetId="1" r:id="rId1"/>
    <sheet name="RAW Data" sheetId="2" r:id="rId2"/>
  </sheets>
  <definedNames>
    <definedName name="_xlnm.Print_Area" localSheetId="0">'Iowa Men''s Fastpitch Summary'!$A$1:$E$52</definedName>
  </definedNames>
  <calcPr calcId="152511"/>
</workbook>
</file>

<file path=xl/calcChain.xml><?xml version="1.0" encoding="utf-8"?>
<calcChain xmlns="http://schemas.openxmlformats.org/spreadsheetml/2006/main">
  <c r="U12" i="2" l="1"/>
  <c r="T12" i="2"/>
  <c r="S12" i="2"/>
  <c r="R55" i="2" l="1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4" i="1" l="1"/>
  <c r="U54" i="2"/>
  <c r="T54" i="2"/>
  <c r="S54" i="2"/>
  <c r="U53" i="2"/>
  <c r="T53" i="2"/>
  <c r="S53" i="2"/>
  <c r="U52" i="2"/>
  <c r="T52" i="2"/>
  <c r="S52" i="2"/>
  <c r="U51" i="2"/>
  <c r="T51" i="2"/>
  <c r="S51" i="2"/>
  <c r="U50" i="2"/>
  <c r="T50" i="2"/>
  <c r="S50" i="2"/>
  <c r="U49" i="2"/>
  <c r="T49" i="2"/>
  <c r="S49" i="2"/>
  <c r="U48" i="2"/>
  <c r="T48" i="2"/>
  <c r="S48" i="2"/>
  <c r="U47" i="2"/>
  <c r="T47" i="2"/>
  <c r="S47" i="2"/>
  <c r="U46" i="2"/>
  <c r="T46" i="2"/>
  <c r="S46" i="2"/>
  <c r="U45" i="2"/>
  <c r="T45" i="2"/>
  <c r="S45" i="2"/>
  <c r="U44" i="2"/>
  <c r="T44" i="2"/>
  <c r="S44" i="2"/>
  <c r="U43" i="2"/>
  <c r="T43" i="2"/>
  <c r="S43" i="2"/>
  <c r="U42" i="2"/>
  <c r="T42" i="2"/>
  <c r="S42" i="2"/>
  <c r="U41" i="2"/>
  <c r="T41" i="2"/>
  <c r="S41" i="2"/>
  <c r="U40" i="2"/>
  <c r="T40" i="2"/>
  <c r="S40" i="2"/>
  <c r="U39" i="2"/>
  <c r="T39" i="2"/>
  <c r="S39" i="2"/>
  <c r="U38" i="2"/>
  <c r="T38" i="2"/>
  <c r="S38" i="2"/>
  <c r="U37" i="2"/>
  <c r="T37" i="2"/>
  <c r="S37" i="2"/>
  <c r="U36" i="2"/>
  <c r="T36" i="2"/>
  <c r="S36" i="2"/>
  <c r="U35" i="2"/>
  <c r="T35" i="2"/>
  <c r="S35" i="2"/>
  <c r="U34" i="2"/>
  <c r="T34" i="2"/>
  <c r="S34" i="2"/>
  <c r="U33" i="2"/>
  <c r="T33" i="2"/>
  <c r="S33" i="2"/>
  <c r="U32" i="2"/>
  <c r="T32" i="2"/>
  <c r="S32" i="2"/>
  <c r="U31" i="2"/>
  <c r="T31" i="2"/>
  <c r="S31" i="2"/>
  <c r="U30" i="2"/>
  <c r="T30" i="2"/>
  <c r="S30" i="2"/>
  <c r="U29" i="2"/>
  <c r="T29" i="2"/>
  <c r="S29" i="2"/>
  <c r="U28" i="2"/>
  <c r="T28" i="2"/>
  <c r="S28" i="2"/>
  <c r="U27" i="2"/>
  <c r="T27" i="2"/>
  <c r="S27" i="2"/>
  <c r="U26" i="2"/>
  <c r="T26" i="2"/>
  <c r="S26" i="2"/>
  <c r="U25" i="2"/>
  <c r="T25" i="2"/>
  <c r="S25" i="2"/>
  <c r="U24" i="2"/>
  <c r="T24" i="2"/>
  <c r="S24" i="2"/>
  <c r="U23" i="2"/>
  <c r="T23" i="2"/>
  <c r="S23" i="2"/>
  <c r="U22" i="2"/>
  <c r="T22" i="2"/>
  <c r="S22" i="2"/>
  <c r="U21" i="2"/>
  <c r="T21" i="2"/>
  <c r="S21" i="2"/>
  <c r="U20" i="2"/>
  <c r="T20" i="2"/>
  <c r="S20" i="2"/>
  <c r="U19" i="2"/>
  <c r="T19" i="2"/>
  <c r="S19" i="2"/>
  <c r="U18" i="2"/>
  <c r="T18" i="2"/>
  <c r="S18" i="2"/>
  <c r="U17" i="2"/>
  <c r="T17" i="2"/>
  <c r="S17" i="2"/>
  <c r="U16" i="2"/>
  <c r="T16" i="2"/>
  <c r="S16" i="2"/>
  <c r="U15" i="2"/>
  <c r="T15" i="2"/>
  <c r="S15" i="2"/>
  <c r="U14" i="2"/>
  <c r="T14" i="2"/>
  <c r="S14" i="2"/>
  <c r="U13" i="2"/>
  <c r="T13" i="2"/>
  <c r="S13" i="2"/>
  <c r="U11" i="2"/>
  <c r="T11" i="2"/>
  <c r="S11" i="2"/>
  <c r="U10" i="2"/>
  <c r="T10" i="2"/>
  <c r="S10" i="2"/>
  <c r="U9" i="2"/>
  <c r="T9" i="2"/>
  <c r="S9" i="2"/>
  <c r="U8" i="2"/>
  <c r="T8" i="2"/>
  <c r="S8" i="2"/>
  <c r="U7" i="2"/>
  <c r="T7" i="2"/>
  <c r="S7" i="2"/>
  <c r="U6" i="2"/>
  <c r="T6" i="2"/>
  <c r="S6" i="2"/>
  <c r="U5" i="2"/>
  <c r="T5" i="2"/>
  <c r="S5" i="2"/>
  <c r="S59" i="2" s="1"/>
  <c r="W59" i="2" s="1"/>
  <c r="T59" i="2" l="1"/>
  <c r="U59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R56" i="2"/>
  <c r="R58" i="2" s="1"/>
  <c r="Q56" i="2"/>
  <c r="Q58" i="2" s="1"/>
  <c r="P56" i="2"/>
  <c r="P58" i="2" s="1"/>
  <c r="O56" i="2"/>
  <c r="O58" i="2" s="1"/>
  <c r="N56" i="2"/>
  <c r="N58" i="2" s="1"/>
  <c r="M56" i="2"/>
  <c r="M58" i="2" s="1"/>
  <c r="L56" i="2"/>
  <c r="L58" i="2" s="1"/>
  <c r="K56" i="2"/>
  <c r="K58" i="2" s="1"/>
  <c r="J56" i="2"/>
  <c r="J58" i="2" s="1"/>
  <c r="I56" i="2"/>
  <c r="I58" i="2" s="1"/>
  <c r="H56" i="2"/>
  <c r="H58" i="2" s="1"/>
  <c r="G56" i="2"/>
  <c r="G58" i="2" s="1"/>
  <c r="F56" i="2"/>
  <c r="F58" i="2" s="1"/>
  <c r="E56" i="2"/>
  <c r="E58" i="2" s="1"/>
  <c r="D56" i="2"/>
  <c r="D58" i="2" s="1"/>
  <c r="C57" i="2"/>
  <c r="C56" i="2"/>
  <c r="C58" i="2" s="1"/>
  <c r="A2" i="2" l="1"/>
  <c r="C4" i="1"/>
  <c r="B6" i="1" l="1"/>
  <c r="E13" i="1" l="1"/>
  <c r="E19" i="1" s="1"/>
  <c r="E25" i="1" s="1"/>
  <c r="E31" i="1" s="1"/>
  <c r="E37" i="1" s="1"/>
  <c r="E43" i="1" s="1"/>
  <c r="E49" i="1" s="1"/>
  <c r="E12" i="1"/>
  <c r="E18" i="1" s="1"/>
  <c r="E24" i="1" s="1"/>
  <c r="E30" i="1" s="1"/>
  <c r="E36" i="1" s="1"/>
  <c r="E42" i="1" s="1"/>
  <c r="E48" i="1" s="1"/>
  <c r="E11" i="1"/>
  <c r="E17" i="1" s="1"/>
  <c r="E23" i="1" s="1"/>
  <c r="E29" i="1" s="1"/>
  <c r="E35" i="1" s="1"/>
  <c r="E41" i="1" s="1"/>
  <c r="E47" i="1" s="1"/>
  <c r="E10" i="1"/>
  <c r="E16" i="1" s="1"/>
  <c r="E22" i="1" s="1"/>
  <c r="E28" i="1" s="1"/>
  <c r="E34" i="1" s="1"/>
  <c r="E40" i="1" s="1"/>
  <c r="E46" i="1" s="1"/>
  <c r="D46" i="1"/>
  <c r="C46" i="1"/>
  <c r="D39" i="1"/>
  <c r="C39" i="1"/>
  <c r="D33" i="1"/>
  <c r="C33" i="1"/>
  <c r="D27" i="1"/>
  <c r="C27" i="1"/>
  <c r="D21" i="1"/>
  <c r="C21" i="1"/>
  <c r="D15" i="1"/>
  <c r="C15" i="1"/>
  <c r="D9" i="1"/>
  <c r="C9" i="1"/>
  <c r="D3" i="1"/>
  <c r="C3" i="1"/>
  <c r="D49" i="1" l="1"/>
  <c r="C49" i="1"/>
  <c r="D42" i="1"/>
  <c r="C42" i="1"/>
  <c r="D36" i="1"/>
  <c r="C36" i="1"/>
  <c r="D30" i="1"/>
  <c r="C30" i="1"/>
  <c r="D24" i="1"/>
  <c r="C24" i="1"/>
  <c r="D18" i="1"/>
  <c r="C18" i="1"/>
  <c r="D12" i="1"/>
  <c r="C12" i="1"/>
  <c r="D6" i="1"/>
  <c r="D48" i="1"/>
  <c r="C48" i="1"/>
  <c r="D41" i="1"/>
  <c r="C41" i="1"/>
  <c r="D35" i="1"/>
  <c r="C35" i="1"/>
  <c r="D29" i="1"/>
  <c r="C29" i="1"/>
  <c r="D23" i="1"/>
  <c r="C23" i="1"/>
  <c r="D17" i="1"/>
  <c r="C17" i="1"/>
  <c r="D11" i="1"/>
  <c r="C11" i="1"/>
  <c r="D5" i="1"/>
  <c r="D47" i="1"/>
  <c r="C47" i="1"/>
  <c r="D40" i="1"/>
  <c r="C40" i="1"/>
  <c r="D34" i="1"/>
  <c r="C34" i="1"/>
  <c r="D28" i="1"/>
  <c r="C28" i="1"/>
  <c r="D22" i="1"/>
  <c r="C22" i="1"/>
  <c r="D16" i="1"/>
  <c r="C16" i="1"/>
  <c r="D10" i="1"/>
  <c r="C10" i="1"/>
  <c r="D4" i="1"/>
  <c r="C6" i="1"/>
  <c r="C5" i="1"/>
  <c r="D19" i="1" l="1"/>
  <c r="C7" i="1"/>
  <c r="D7" i="1"/>
  <c r="D31" i="1"/>
  <c r="D43" i="1"/>
  <c r="D13" i="1"/>
  <c r="D37" i="1"/>
  <c r="C19" i="1"/>
  <c r="C31" i="1"/>
  <c r="D25" i="1"/>
  <c r="D50" i="1"/>
  <c r="C13" i="1"/>
  <c r="C25" i="1"/>
  <c r="C37" i="1"/>
  <c r="C50" i="1"/>
  <c r="C43" i="1"/>
</calcChain>
</file>

<file path=xl/sharedStrings.xml><?xml version="1.0" encoding="utf-8"?>
<sst xmlns="http://schemas.openxmlformats.org/spreadsheetml/2006/main" count="1011" uniqueCount="136">
  <si>
    <t>No Opinion</t>
  </si>
  <si>
    <t>No</t>
  </si>
  <si>
    <t>Yes</t>
  </si>
  <si>
    <t>2026/03/15 8:34:03 AM EST</t>
  </si>
  <si>
    <t>stevekaiser020@gmail.com</t>
  </si>
  <si>
    <t>2026/03/15 8:39:48 AM EST</t>
  </si>
  <si>
    <t>dmw52581@gmail.com</t>
  </si>
  <si>
    <t>2026/03/15 9:05:18 AM EST</t>
  </si>
  <si>
    <t>towen@iowatelecom.net</t>
  </si>
  <si>
    <t>2026/03/15 9:14:38 AM EST</t>
  </si>
  <si>
    <t>steve.vanginkel@sterling.com</t>
  </si>
  <si>
    <t>2026/03/15 9:35:01 AM EST</t>
  </si>
  <si>
    <t>leroyweg@outlook.com</t>
  </si>
  <si>
    <t>2026/03/15 9:40:27 AM EST</t>
  </si>
  <si>
    <t>seveboy@aol.com</t>
  </si>
  <si>
    <t>2026/03/15 10:11:03 AM EST</t>
  </si>
  <si>
    <t>garyhasky@aol.com</t>
  </si>
  <si>
    <t>2026/03/15 10:57:56 AM EST</t>
  </si>
  <si>
    <t>chuckwelker@aol.com</t>
  </si>
  <si>
    <t>2026/03/15 11:15:55 AM EST</t>
  </si>
  <si>
    <t>jay.coleman@mchsi.com</t>
  </si>
  <si>
    <t>2026/03/15 12:47:07 PM EST</t>
  </si>
  <si>
    <t>arausch@netins.net</t>
  </si>
  <si>
    <t>2026/03/15 3:38:41 PM EST</t>
  </si>
  <si>
    <t>gchristensen@centurylink.net</t>
  </si>
  <si>
    <t>2026/03/15 10:14:40 PM EST</t>
  </si>
  <si>
    <t>bobfontana77@gmail.com</t>
  </si>
  <si>
    <t>2026/03/16 10:12:32 AM EST</t>
  </si>
  <si>
    <t>mbtranel77@gmail.com</t>
  </si>
  <si>
    <t>2026/03/16 10:30:57 AM EST</t>
  </si>
  <si>
    <t>hartzellr53@uiu.edu</t>
  </si>
  <si>
    <t>2026/03/16 11:15:26 AM EST</t>
  </si>
  <si>
    <t>layacinich@grandview.edu</t>
  </si>
  <si>
    <t>2026/03/16 12:08:15 PM EST</t>
  </si>
  <si>
    <t>almllyvandyke@iowatelecom.net</t>
  </si>
  <si>
    <t>2026/03/16 12:29:49 PM EST</t>
  </si>
  <si>
    <t>tom.peterson@uni.edu</t>
  </si>
  <si>
    <t>2026/03/16 12:35:33 PM EST</t>
  </si>
  <si>
    <t>howieprotivin@gmail.com</t>
  </si>
  <si>
    <t>2026/03/16 1:52:26 PM EST</t>
  </si>
  <si>
    <t>ynot.nelson@pm.me</t>
  </si>
  <si>
    <t>2026/03/16 2:22:04 PM EST</t>
  </si>
  <si>
    <t>Christnerm@hotmail.com</t>
  </si>
  <si>
    <t>2026/03/16 3:53:45 PM EST</t>
  </si>
  <si>
    <t>hookemkiwi@gmail.com</t>
  </si>
  <si>
    <t>2026/03/17 7:41:02 AM EST</t>
  </si>
  <si>
    <t>Obrienshawn58@gmail.com</t>
  </si>
  <si>
    <t>2026/03/17 10:35:05 AM EST</t>
  </si>
  <si>
    <t>dlinderbaum@gmail.com</t>
  </si>
  <si>
    <t>2026/03/17 10:54:11 AM EST</t>
  </si>
  <si>
    <t>mksafamily@yahoo.com</t>
  </si>
  <si>
    <t>2026/03/17 6:27:18 PM EST</t>
  </si>
  <si>
    <t>tkbakey@msn.com</t>
  </si>
  <si>
    <t>2026/03/17 7:10:03 PM EST</t>
  </si>
  <si>
    <t>kchartwig1987@gmail.com</t>
  </si>
  <si>
    <t>2026/03/18 2:47:42 PM EST</t>
  </si>
  <si>
    <t>pburnett44@gmail.com</t>
  </si>
  <si>
    <t>2026/03/18 3:27:41 PM EST</t>
  </si>
  <si>
    <t>jdarling@winterset.k12.ia.us</t>
  </si>
  <si>
    <t>2026/03/18 3:54:17 PM EST</t>
  </si>
  <si>
    <t>rone25@aol.com</t>
  </si>
  <si>
    <t>2026/03/19 8:09:32 AM EST</t>
  </si>
  <si>
    <t>Mcdarling02@gmail.com</t>
  </si>
  <si>
    <t>2026/03/19 2:37:55 PM EST</t>
  </si>
  <si>
    <t>dhammers7@hotmail.com</t>
  </si>
  <si>
    <t>2026/03/21 12:18:59 PM EST</t>
  </si>
  <si>
    <t>mclark434@mchsi.com</t>
  </si>
  <si>
    <t>2026/03/22 4:23:01 PM EST</t>
  </si>
  <si>
    <t>scpetersen4@gmail.com</t>
  </si>
  <si>
    <t>2026/03/25 8:15:32 AM EST</t>
  </si>
  <si>
    <t>simonijoe76@gmail.com</t>
  </si>
  <si>
    <t>2026/03/25 10:31:30 AM EST</t>
  </si>
  <si>
    <t>calernst@cbhrealty.com</t>
  </si>
  <si>
    <t>2026/03/25 10:35:51 AM EST</t>
  </si>
  <si>
    <t>darren.dubsky@gmail.com</t>
  </si>
  <si>
    <t>2026/03/25 10:35:54 AM EST</t>
  </si>
  <si>
    <t>btimmons@coe.edu</t>
  </si>
  <si>
    <t>2026/03/25 10:39:49 AM EST</t>
  </si>
  <si>
    <t>jamsbaugh@msn.com</t>
  </si>
  <si>
    <t>2026/03/25 11:26:30 AM EST</t>
  </si>
  <si>
    <t>sevephillips62@gmail.com</t>
  </si>
  <si>
    <t>2026/03/25 1:45:36 PM EST</t>
  </si>
  <si>
    <t>corytarry@gmail.com</t>
  </si>
  <si>
    <t>2026/03/25 3:33:09 PM EST</t>
  </si>
  <si>
    <t>stan.wisnieski1850@gmail.com</t>
  </si>
  <si>
    <t>2026/03/25 7:48:46 PM EST</t>
  </si>
  <si>
    <t>hawkiwi147@gmail.com</t>
  </si>
  <si>
    <t>2026/03/25 10:09:23 PM EST</t>
  </si>
  <si>
    <t>sovj40@gmail.com</t>
  </si>
  <si>
    <t>2026/03/26 10:55:03 AM EST</t>
  </si>
  <si>
    <t>greggbosch@gmail.com</t>
  </si>
  <si>
    <t>2026/03/26 1:21:03 PM EST</t>
  </si>
  <si>
    <t>pspedro13@aol.com</t>
  </si>
  <si>
    <t>2026/03/29 8:15:00 PM EST</t>
  </si>
  <si>
    <t>mike.stickney123@gmail.com</t>
  </si>
  <si>
    <t>2026/03/29 10:37:10 PM EST</t>
  </si>
  <si>
    <t>dlindaman@hotmail.com</t>
  </si>
  <si>
    <t>2026/03/30 10:33:26 AM EST</t>
  </si>
  <si>
    <t>lassendc@netins.net</t>
  </si>
  <si>
    <t>Jack Arendt</t>
  </si>
  <si>
    <t>Gordy Baker</t>
  </si>
  <si>
    <t>Brian Nelson</t>
  </si>
  <si>
    <t>Dave Donahue</t>
  </si>
  <si>
    <t>Russ Hutchinson</t>
  </si>
  <si>
    <t>Greg Mara</t>
  </si>
  <si>
    <t>Scott O'Brien</t>
  </si>
  <si>
    <t>Jim O'Hern</t>
  </si>
  <si>
    <t>John "JR" Ogden</t>
  </si>
  <si>
    <t>Matt Palazzo</t>
  </si>
  <si>
    <t>Scott Smith</t>
  </si>
  <si>
    <t>Zack Smith</t>
  </si>
  <si>
    <t>Bob Splinter II</t>
  </si>
  <si>
    <t>Brad Wedeking</t>
  </si>
  <si>
    <t xml:space="preserve">  &lt;- Yes</t>
  </si>
  <si>
    <t xml:space="preserve">  &lt;- No Opinion</t>
  </si>
  <si>
    <t xml:space="preserve">  &lt;- No</t>
  </si>
  <si>
    <t xml:space="preserve">  &lt;- Percent "Yes"</t>
  </si>
  <si>
    <t>2026/03/31 4:31:32 PM EST</t>
  </si>
  <si>
    <t>sapeot@msn.com</t>
  </si>
  <si>
    <t>2026 Final Vote Summary April 1st.xlsx</t>
  </si>
  <si>
    <t>Filename ----------------------&gt;&gt;</t>
  </si>
  <si>
    <t>2026 - Iowa Men's Fastpitch Hall of Fame Induction Voting  Summary</t>
  </si>
  <si>
    <t>Number of Required Responses-&gt;</t>
  </si>
  <si>
    <t>Members Voting ------------------&gt;</t>
  </si>
  <si>
    <t>Percent Needed To Induct -------&gt;</t>
  </si>
  <si>
    <t>Votes by</t>
  </si>
  <si>
    <t>Timestamp of Vote</t>
  </si>
  <si>
    <t>2026 - Iowa Men's Fastpitch Hall of Fame Induction Voting  RAW Data</t>
  </si>
  <si>
    <t>Yes ------------------------------------&gt;&gt;</t>
  </si>
  <si>
    <t>No ------------------------------------&gt;&gt;</t>
  </si>
  <si>
    <t>No Opinion -------------------------&gt;&gt;</t>
  </si>
  <si>
    <t>Name ------&gt;&gt;</t>
  </si>
  <si>
    <t>Charles Stufflebeem Sr.</t>
  </si>
  <si>
    <t>Larry Svoboda</t>
  </si>
  <si>
    <t>minordean5@gmail.com</t>
  </si>
  <si>
    <t>2026/03/15 10:43:15 AM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</si>
</sst>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[$-F800]dddd\,\ mmmm\ dd\,\ yyyy"/>
    <numFmt numFmtId="167" formatCode="m/d/yyyy\ h:mm:ss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5B3F86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4">
    <xf numFmtId="0" fontId="0" fillId="0" borderId="0" xfId="0"/>
    <xf numFmtId="10" fontId="0" fillId="0" borderId="0" xfId="0" applyNumberFormat="1"/>
    <xf numFmtId="165" fontId="0" fillId="0" borderId="0" xfId="0" applyNumberFormat="1" applyAlignment="1">
      <alignment horizontal="left"/>
    </xf>
    <xf numFmtId="0" fontId="16" fillId="0" borderId="0" xfId="0" applyFont="1"/>
    <xf numFmtId="0" fontId="19" fillId="0" borderId="0" xfId="0" applyFont="1"/>
    <xf numFmtId="0" fontId="16" fillId="0" borderId="10" xfId="0" applyFont="1" applyBorder="1"/>
    <xf numFmtId="164" fontId="16" fillId="0" borderId="0" xfId="0" applyNumberFormat="1" applyFont="1"/>
    <xf numFmtId="0" fontId="20" fillId="33" borderId="10" xfId="0" applyFont="1" applyFill="1" applyBorder="1" applyAlignment="1">
      <alignment horizontal="left" vertic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21" fillId="0" borderId="0" xfId="42"/>
    <xf numFmtId="0" fontId="20" fillId="33" borderId="0" xfId="0" applyFont="1" applyFill="1" applyBorder="1" applyAlignment="1">
      <alignment horizontal="left" vertical="center"/>
    </xf>
    <xf numFmtId="0" fontId="18" fillId="33" borderId="0" xfId="0" applyFont="1" applyFill="1" applyBorder="1" applyAlignment="1">
      <alignment horizontal="left" vertical="center"/>
    </xf>
    <xf numFmtId="0" fontId="0" fillId="0" borderId="0" xfId="0" applyBorder="1"/>
    <xf numFmtId="0" fontId="0" fillId="0" borderId="10" xfId="0" applyBorder="1" applyAlignment="1">
      <alignment horizontal="right"/>
    </xf>
    <xf numFmtId="0" fontId="20" fillId="33" borderId="10" xfId="0" applyFont="1" applyFill="1" applyBorder="1" applyAlignment="1">
      <alignment horizontal="right" vertical="center"/>
    </xf>
    <xf numFmtId="165" fontId="16" fillId="0" borderId="0" xfId="0" applyNumberFormat="1" applyFont="1" applyAlignment="1">
      <alignment horizontal="left"/>
    </xf>
    <xf numFmtId="0" fontId="0" fillId="0" borderId="0" xfId="0" applyFill="1"/>
    <xf numFmtId="164" fontId="16" fillId="0" borderId="0" xfId="0" applyNumberFormat="1" applyFont="1" applyAlignment="1">
      <alignment horizontal="left"/>
    </xf>
    <xf numFmtId="167" fontId="18" fillId="34" borderId="11" xfId="0" applyNumberFormat="1" applyFont="1" applyFill="1" applyBorder="1" applyAlignment="1">
      <alignment vertical="center"/>
    </xf>
    <xf numFmtId="0" fontId="18" fillId="34" borderId="0" xfId="0" applyFont="1" applyFill="1" applyBorder="1" applyAlignment="1">
      <alignment vertical="center"/>
    </xf>
    <xf numFmtId="0" fontId="0" fillId="34" borderId="0" xfId="0" applyFill="1" applyBorder="1"/>
    <xf numFmtId="0" fontId="0" fillId="34" borderId="0" xfId="0" applyFont="1" applyFill="1" applyBorder="1" applyAlignment="1">
      <alignment vertical="center"/>
    </xf>
    <xf numFmtId="0" fontId="0" fillId="34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tabSelected="1" workbookViewId="0">
      <selection activeCell="A3" sqref="A3"/>
    </sheetView>
  </sheetViews>
  <sheetFormatPr defaultRowHeight="15" x14ac:dyDescent="0.25"/>
  <cols>
    <col min="1" max="1" width="30.7109375" customWidth="1"/>
    <col min="2" max="2" width="15.7109375" customWidth="1"/>
    <col min="3" max="3" width="15.85546875" bestFit="1" customWidth="1"/>
    <col min="4" max="4" width="22.28515625" customWidth="1"/>
    <col min="5" max="5" width="17.85546875" customWidth="1"/>
    <col min="6" max="6" width="22.28515625" bestFit="1" customWidth="1"/>
    <col min="7" max="9" width="14.7109375" customWidth="1"/>
    <col min="10" max="10" width="22.28515625" bestFit="1" customWidth="1"/>
    <col min="11" max="17" width="14.7109375" customWidth="1"/>
    <col min="18" max="18" width="19.5703125" bestFit="1" customWidth="1"/>
    <col min="21" max="21" width="10.7109375" customWidth="1"/>
  </cols>
  <sheetData>
    <row r="1" spans="1:7" ht="23.25" x14ac:dyDescent="0.35">
      <c r="A1" s="4" t="s">
        <v>121</v>
      </c>
    </row>
    <row r="2" spans="1:7" x14ac:dyDescent="0.25">
      <c r="A2" s="2">
        <v>46113</v>
      </c>
    </row>
    <row r="3" spans="1:7" ht="14.25" customHeight="1" x14ac:dyDescent="0.25">
      <c r="C3" s="8" t="str">
        <f>'RAW Data'!C4</f>
        <v>Jack Arendt</v>
      </c>
      <c r="D3" s="8" t="str">
        <f>'RAW Data'!D4</f>
        <v>Gordy Baker</v>
      </c>
    </row>
    <row r="4" spans="1:7" x14ac:dyDescent="0.25">
      <c r="A4" s="3" t="s">
        <v>123</v>
      </c>
      <c r="B4" s="9">
        <f>ROWS('RAW Data'!A5:A54)</f>
        <v>50</v>
      </c>
      <c r="C4">
        <f>COUNTIF('RAW Data'!C$5:C$54, "Yes")</f>
        <v>22</v>
      </c>
      <c r="D4">
        <f>COUNTIF('RAW Data'!D$5:D$54, "Yes")</f>
        <v>19</v>
      </c>
      <c r="E4" s="3" t="s">
        <v>113</v>
      </c>
    </row>
    <row r="5" spans="1:7" x14ac:dyDescent="0.25">
      <c r="A5" s="3" t="s">
        <v>124</v>
      </c>
      <c r="B5" s="18">
        <v>0.75</v>
      </c>
      <c r="C5">
        <f>COUNTIF('RAW Data'!C$5:C$54, "No")</f>
        <v>9</v>
      </c>
      <c r="D5">
        <f>COUNTIF('RAW Data'!D$5:D$54, "No")</f>
        <v>3</v>
      </c>
      <c r="E5" s="3" t="s">
        <v>115</v>
      </c>
    </row>
    <row r="6" spans="1:7" x14ac:dyDescent="0.25">
      <c r="A6" s="9" t="s">
        <v>122</v>
      </c>
      <c r="B6" s="9">
        <f>ROUND(B4/2,0)</f>
        <v>25</v>
      </c>
      <c r="C6">
        <f>COUNTIF('RAW Data'!C$5:C$54, "No Opinion")</f>
        <v>19</v>
      </c>
      <c r="D6">
        <f>COUNTIF('RAW Data'!D$5:D$54, "No Opinion")</f>
        <v>28</v>
      </c>
      <c r="E6" s="3" t="s">
        <v>114</v>
      </c>
    </row>
    <row r="7" spans="1:7" x14ac:dyDescent="0.25">
      <c r="C7" s="1">
        <f>C4/(C4+C5)</f>
        <v>0.70967741935483875</v>
      </c>
      <c r="D7" s="1">
        <f>D4/(D4+D5)</f>
        <v>0.86363636363636365</v>
      </c>
      <c r="E7" s="3" t="s">
        <v>116</v>
      </c>
    </row>
    <row r="8" spans="1:7" x14ac:dyDescent="0.25">
      <c r="B8" s="10"/>
      <c r="E8" s="3"/>
    </row>
    <row r="9" spans="1:7" x14ac:dyDescent="0.25">
      <c r="C9" s="8" t="str">
        <f>'RAW Data'!E4</f>
        <v>Brian Nelson</v>
      </c>
      <c r="D9" s="8" t="str">
        <f>'RAW Data'!F4</f>
        <v>Dave Donahue</v>
      </c>
      <c r="E9" s="3"/>
      <c r="F9" s="6"/>
      <c r="G9" s="3"/>
    </row>
    <row r="10" spans="1:7" x14ac:dyDescent="0.25">
      <c r="A10" s="6"/>
      <c r="C10">
        <f>COUNTIF('RAW Data'!E$5:E$54, "Yes")</f>
        <v>6</v>
      </c>
      <c r="D10">
        <f>COUNTIF('RAW Data'!F$5:F$54, "Yes")</f>
        <v>18</v>
      </c>
      <c r="E10" s="3" t="str">
        <f>E4</f>
        <v xml:space="preserve">  &lt;- Yes</v>
      </c>
    </row>
    <row r="11" spans="1:7" x14ac:dyDescent="0.25">
      <c r="A11" s="6"/>
      <c r="B11" s="3"/>
      <c r="C11">
        <f>COUNTIF('RAW Data'!E$5:E$54, "No")</f>
        <v>11</v>
      </c>
      <c r="D11">
        <f>COUNTIF('RAW Data'!F$5:F$54, "No")</f>
        <v>5</v>
      </c>
      <c r="E11" s="3" t="str">
        <f>E5</f>
        <v xml:space="preserve">  &lt;- No</v>
      </c>
    </row>
    <row r="12" spans="1:7" x14ac:dyDescent="0.25">
      <c r="A12" s="6"/>
      <c r="B12" s="3"/>
      <c r="C12">
        <f>COUNTIF('RAW Data'!E$5:E$54, "No Opinion")</f>
        <v>33</v>
      </c>
      <c r="D12">
        <f>COUNTIF('RAW Data'!F$5:F$54, "No Opinion")</f>
        <v>27</v>
      </c>
      <c r="E12" s="3" t="str">
        <f>E6</f>
        <v xml:space="preserve">  &lt;- No Opinion</v>
      </c>
    </row>
    <row r="13" spans="1:7" x14ac:dyDescent="0.25">
      <c r="A13" s="6"/>
      <c r="B13" s="3"/>
      <c r="C13" s="1">
        <f>C10/(C10+C11)</f>
        <v>0.35294117647058826</v>
      </c>
      <c r="D13" s="1">
        <f>D10/(D10+D11)</f>
        <v>0.78260869565217395</v>
      </c>
      <c r="E13" s="3" t="str">
        <f>E7</f>
        <v xml:space="preserve">  &lt;- Percent "Yes"</v>
      </c>
    </row>
    <row r="14" spans="1:7" x14ac:dyDescent="0.25">
      <c r="A14" s="6"/>
      <c r="B14" s="3"/>
      <c r="E14" s="3"/>
    </row>
    <row r="15" spans="1:7" x14ac:dyDescent="0.25">
      <c r="A15" s="6"/>
      <c r="B15" s="3"/>
      <c r="C15" s="8" t="str">
        <f>'RAW Data'!G4</f>
        <v>Russ Hutchinson</v>
      </c>
      <c r="D15" s="8" t="str">
        <f>'RAW Data'!H4</f>
        <v>Greg Mara</v>
      </c>
      <c r="E15" s="3"/>
    </row>
    <row r="16" spans="1:7" x14ac:dyDescent="0.25">
      <c r="A16" s="6"/>
      <c r="B16" s="3"/>
      <c r="C16">
        <f>COUNTIF('RAW Data'!G$5:G$54, "Yes")</f>
        <v>17</v>
      </c>
      <c r="D16">
        <f>COUNTIF('RAW Data'!H$5:H$54, "Yes")</f>
        <v>20</v>
      </c>
      <c r="E16" s="3" t="str">
        <f>E10</f>
        <v xml:space="preserve">  &lt;- Yes</v>
      </c>
    </row>
    <row r="17" spans="1:5" x14ac:dyDescent="0.25">
      <c r="A17" s="6"/>
      <c r="B17" s="3"/>
      <c r="C17">
        <f>COUNTIF('RAW Data'!G$5:G$54, "No")</f>
        <v>10</v>
      </c>
      <c r="D17">
        <f>COUNTIF('RAW Data'!H$5:H$54, "No")</f>
        <v>9</v>
      </c>
      <c r="E17" s="3" t="str">
        <f>E11</f>
        <v xml:space="preserve">  &lt;- No</v>
      </c>
    </row>
    <row r="18" spans="1:5" x14ac:dyDescent="0.25">
      <c r="A18" s="6"/>
      <c r="B18" s="3"/>
      <c r="C18">
        <f>COUNTIF('RAW Data'!G$5:G$54, "No Opinion")</f>
        <v>23</v>
      </c>
      <c r="D18">
        <f>COUNTIF('RAW Data'!H$5:H$54, "No Opinion")</f>
        <v>21</v>
      </c>
      <c r="E18" s="3" t="str">
        <f>E12</f>
        <v xml:space="preserve">  &lt;- No Opinion</v>
      </c>
    </row>
    <row r="19" spans="1:5" x14ac:dyDescent="0.25">
      <c r="A19" s="6"/>
      <c r="B19" s="3"/>
      <c r="C19" s="1">
        <f>C16/(C16+C17)</f>
        <v>0.62962962962962965</v>
      </c>
      <c r="D19" s="1">
        <f>D16/(D16+D17)</f>
        <v>0.68965517241379315</v>
      </c>
      <c r="E19" s="3" t="str">
        <f>E13</f>
        <v xml:space="preserve">  &lt;- Percent "Yes"</v>
      </c>
    </row>
    <row r="20" spans="1:5" x14ac:dyDescent="0.25">
      <c r="A20" s="6"/>
      <c r="B20" s="3"/>
      <c r="E20" s="3"/>
    </row>
    <row r="21" spans="1:5" x14ac:dyDescent="0.25">
      <c r="A21" s="6"/>
      <c r="B21" s="3"/>
      <c r="C21" s="8" t="str">
        <f>'RAW Data'!I4</f>
        <v>Scott O'Brien</v>
      </c>
      <c r="D21" s="8" t="str">
        <f>'RAW Data'!J4</f>
        <v>Jim O'Hern</v>
      </c>
      <c r="E21" s="3"/>
    </row>
    <row r="22" spans="1:5" x14ac:dyDescent="0.25">
      <c r="A22" s="6"/>
      <c r="B22" s="3"/>
      <c r="C22">
        <f>COUNTIF('RAW Data'!I$5:I$54, "Yes")</f>
        <v>13</v>
      </c>
      <c r="D22">
        <f>COUNTIF('RAW Data'!J$5:J$54, "Yes")</f>
        <v>13</v>
      </c>
      <c r="E22" s="3" t="str">
        <f>E16</f>
        <v xml:space="preserve">  &lt;- Yes</v>
      </c>
    </row>
    <row r="23" spans="1:5" x14ac:dyDescent="0.25">
      <c r="A23" s="6"/>
      <c r="B23" s="3"/>
      <c r="C23">
        <f>COUNTIF('RAW Data'!I$5:I$54, "No")</f>
        <v>9</v>
      </c>
      <c r="D23">
        <f>COUNTIF('RAW Data'!J$5:J$54, "No")</f>
        <v>7</v>
      </c>
      <c r="E23" s="3" t="str">
        <f>E17</f>
        <v xml:space="preserve">  &lt;- No</v>
      </c>
    </row>
    <row r="24" spans="1:5" x14ac:dyDescent="0.25">
      <c r="A24" s="6"/>
      <c r="B24" s="3"/>
      <c r="C24">
        <f>COUNTIF('RAW Data'!I$5:I$54, "No Opinion")</f>
        <v>28</v>
      </c>
      <c r="D24">
        <f>COUNTIF('RAW Data'!J$5:J$54, "No Opinion")</f>
        <v>30</v>
      </c>
      <c r="E24" s="3" t="str">
        <f>E18</f>
        <v xml:space="preserve">  &lt;- No Opinion</v>
      </c>
    </row>
    <row r="25" spans="1:5" x14ac:dyDescent="0.25">
      <c r="A25" s="6"/>
      <c r="B25" s="3"/>
      <c r="C25" s="1">
        <f>C22/(C22+C23)</f>
        <v>0.59090909090909094</v>
      </c>
      <c r="D25" s="1">
        <f>D22/(D22+D23)</f>
        <v>0.65</v>
      </c>
      <c r="E25" s="3" t="str">
        <f>E19</f>
        <v xml:space="preserve">  &lt;- Percent "Yes"</v>
      </c>
    </row>
    <row r="26" spans="1:5" x14ac:dyDescent="0.25">
      <c r="A26" s="6"/>
      <c r="B26" s="3"/>
      <c r="E26" s="3"/>
    </row>
    <row r="27" spans="1:5" x14ac:dyDescent="0.25">
      <c r="A27" s="6"/>
      <c r="B27" s="3"/>
      <c r="C27" s="8" t="str">
        <f>'RAW Data'!K4</f>
        <v>John "JR" Ogden</v>
      </c>
      <c r="D27" s="8" t="str">
        <f>'RAW Data'!L4</f>
        <v>Matt Palazzo</v>
      </c>
      <c r="E27" s="3"/>
    </row>
    <row r="28" spans="1:5" x14ac:dyDescent="0.25">
      <c r="A28" s="6"/>
      <c r="B28" s="3"/>
      <c r="C28">
        <f>COUNTIF('RAW Data'!K$5:K$54, "Yes")</f>
        <v>28</v>
      </c>
      <c r="D28">
        <f>COUNTIF('RAW Data'!L$5:L$54, "Yes")</f>
        <v>31</v>
      </c>
      <c r="E28" s="3" t="str">
        <f>E22</f>
        <v xml:space="preserve">  &lt;- Yes</v>
      </c>
    </row>
    <row r="29" spans="1:5" x14ac:dyDescent="0.25">
      <c r="A29" s="6"/>
      <c r="B29" s="3"/>
      <c r="C29">
        <f>COUNTIF('RAW Data'!K$5:K$54, "No")</f>
        <v>3</v>
      </c>
      <c r="D29">
        <f>COUNTIF('RAW Data'!L$5:L$54, "No")</f>
        <v>1</v>
      </c>
      <c r="E29" s="3" t="str">
        <f>E23</f>
        <v xml:space="preserve">  &lt;- No</v>
      </c>
    </row>
    <row r="30" spans="1:5" x14ac:dyDescent="0.25">
      <c r="A30" s="6"/>
      <c r="B30" s="3"/>
      <c r="C30">
        <f>COUNTIF('RAW Data'!K$5:K$54, "No Opinion")</f>
        <v>19</v>
      </c>
      <c r="D30">
        <f>COUNTIF('RAW Data'!L$5:L$54, "No Opinion")</f>
        <v>18</v>
      </c>
      <c r="E30" s="3" t="str">
        <f>E24</f>
        <v xml:space="preserve">  &lt;- No Opinion</v>
      </c>
    </row>
    <row r="31" spans="1:5" x14ac:dyDescent="0.25">
      <c r="A31" s="6"/>
      <c r="B31" s="3"/>
      <c r="C31" s="1">
        <f>C28/(C28+C29)</f>
        <v>0.90322580645161288</v>
      </c>
      <c r="D31" s="1">
        <f>D28/(D28+D29)</f>
        <v>0.96875</v>
      </c>
      <c r="E31" s="3" t="str">
        <f>E25</f>
        <v xml:space="preserve">  &lt;- Percent "Yes"</v>
      </c>
    </row>
    <row r="32" spans="1:5" x14ac:dyDescent="0.25">
      <c r="A32" s="6"/>
      <c r="B32" s="3"/>
      <c r="E32" s="3"/>
    </row>
    <row r="33" spans="1:5" x14ac:dyDescent="0.25">
      <c r="A33" s="6"/>
      <c r="B33" s="3"/>
      <c r="C33" s="8" t="str">
        <f>'RAW Data'!M4</f>
        <v>Scott Smith</v>
      </c>
      <c r="D33" s="8" t="str">
        <f>'RAW Data'!N4</f>
        <v>Zack Smith</v>
      </c>
      <c r="E33" s="3"/>
    </row>
    <row r="34" spans="1:5" x14ac:dyDescent="0.25">
      <c r="A34" s="6"/>
      <c r="B34" s="3"/>
      <c r="C34">
        <f>COUNTIF('RAW Data'!M$5:M$54, "Yes")</f>
        <v>30</v>
      </c>
      <c r="D34">
        <f>COUNTIF('RAW Data'!N$5:N$54, "Yes")</f>
        <v>3</v>
      </c>
      <c r="E34" s="3" t="str">
        <f>E28</f>
        <v xml:space="preserve">  &lt;- Yes</v>
      </c>
    </row>
    <row r="35" spans="1:5" x14ac:dyDescent="0.25">
      <c r="A35" s="6"/>
      <c r="B35" s="3"/>
      <c r="C35">
        <f>COUNTIF('RAW Data'!M$5:M$54, "No")</f>
        <v>3</v>
      </c>
      <c r="D35">
        <f>COUNTIF('RAW Data'!N$5:N$54, "No")</f>
        <v>13</v>
      </c>
      <c r="E35" s="3" t="str">
        <f>E29</f>
        <v xml:space="preserve">  &lt;- No</v>
      </c>
    </row>
    <row r="36" spans="1:5" x14ac:dyDescent="0.25">
      <c r="A36" s="6"/>
      <c r="B36" s="3"/>
      <c r="C36">
        <f>COUNTIF('RAW Data'!M$5:M$54, "No Opinion")</f>
        <v>17</v>
      </c>
      <c r="D36">
        <f>COUNTIF('RAW Data'!N$5:N$54, "No Opinion")</f>
        <v>34</v>
      </c>
      <c r="E36" s="3" t="str">
        <f>E30</f>
        <v xml:space="preserve">  &lt;- No Opinion</v>
      </c>
    </row>
    <row r="37" spans="1:5" x14ac:dyDescent="0.25">
      <c r="A37" s="6"/>
      <c r="B37" s="3"/>
      <c r="C37" s="1">
        <f>C34/(C34+C35)</f>
        <v>0.90909090909090906</v>
      </c>
      <c r="D37" s="1">
        <f>D34/(D34+D35)</f>
        <v>0.1875</v>
      </c>
      <c r="E37" s="3" t="str">
        <f>E31</f>
        <v xml:space="preserve">  &lt;- Percent "Yes"</v>
      </c>
    </row>
    <row r="38" spans="1:5" x14ac:dyDescent="0.25">
      <c r="A38" s="6"/>
      <c r="B38" s="3"/>
      <c r="C38" s="3"/>
      <c r="D38" s="3"/>
      <c r="E38" s="3"/>
    </row>
    <row r="39" spans="1:5" x14ac:dyDescent="0.25">
      <c r="A39" s="6"/>
      <c r="B39" s="3"/>
      <c r="C39" s="8" t="str">
        <f>'RAW Data'!O4</f>
        <v>Bob Splinter II</v>
      </c>
      <c r="D39" s="8" t="str">
        <f>'RAW Data'!P4</f>
        <v>Larry Svoboda</v>
      </c>
      <c r="E39" s="3"/>
    </row>
    <row r="40" spans="1:5" x14ac:dyDescent="0.25">
      <c r="A40" s="6"/>
      <c r="B40" s="3"/>
      <c r="C40">
        <f>COUNTIF('RAW Data'!O$5:O$54, "Yes")</f>
        <v>12</v>
      </c>
      <c r="D40">
        <f>COUNTIF('RAW Data'!P$5:P$54, "Yes")</f>
        <v>16</v>
      </c>
      <c r="E40" s="3" t="str">
        <f>E34</f>
        <v xml:space="preserve">  &lt;- Yes</v>
      </c>
    </row>
    <row r="41" spans="1:5" x14ac:dyDescent="0.25">
      <c r="A41" s="6"/>
      <c r="B41" s="3"/>
      <c r="C41">
        <f>COUNTIF('RAW Data'!O$5:O$54, "No")</f>
        <v>9</v>
      </c>
      <c r="D41">
        <f>COUNTIF('RAW Data'!P$5:P$54, "No")</f>
        <v>3</v>
      </c>
      <c r="E41" s="3" t="str">
        <f>E35</f>
        <v xml:space="preserve">  &lt;- No</v>
      </c>
    </row>
    <row r="42" spans="1:5" x14ac:dyDescent="0.25">
      <c r="A42" s="6"/>
      <c r="B42" s="3"/>
      <c r="C42">
        <f>COUNTIF('RAW Data'!O$5:O$54, "No Opinion")</f>
        <v>29</v>
      </c>
      <c r="D42">
        <f>COUNTIF('RAW Data'!P$5:P$54, "No Opinion")</f>
        <v>31</v>
      </c>
      <c r="E42" s="3" t="str">
        <f>E36</f>
        <v xml:space="preserve">  &lt;- No Opinion</v>
      </c>
    </row>
    <row r="43" spans="1:5" x14ac:dyDescent="0.25">
      <c r="A43" s="6"/>
      <c r="B43" s="3"/>
      <c r="C43" s="1">
        <f>C40/(C40+C41)</f>
        <v>0.5714285714285714</v>
      </c>
      <c r="D43" s="1">
        <f>D40/(D40+D41)</f>
        <v>0.84210526315789469</v>
      </c>
      <c r="E43" s="3" t="str">
        <f>E37</f>
        <v xml:space="preserve">  &lt;- Percent "Yes"</v>
      </c>
    </row>
    <row r="44" spans="1:5" x14ac:dyDescent="0.25">
      <c r="A44" s="6"/>
      <c r="B44" s="3"/>
      <c r="C44" s="3"/>
      <c r="D44" s="3"/>
      <c r="E44" s="3"/>
    </row>
    <row r="45" spans="1:5" x14ac:dyDescent="0.25">
      <c r="A45" s="6"/>
      <c r="B45" s="3"/>
      <c r="E45" s="3"/>
    </row>
    <row r="46" spans="1:5" x14ac:dyDescent="0.25">
      <c r="A46" s="6"/>
      <c r="B46" s="3"/>
      <c r="C46" s="8" t="str">
        <f>'RAW Data'!Q4</f>
        <v>Brad Wedeking</v>
      </c>
      <c r="D46" s="8" t="str">
        <f>'RAW Data'!R4</f>
        <v>Charles Stufflebeem Sr.</v>
      </c>
      <c r="E46" s="3" t="str">
        <f>E40</f>
        <v xml:space="preserve">  &lt;- Yes</v>
      </c>
    </row>
    <row r="47" spans="1:5" x14ac:dyDescent="0.25">
      <c r="A47" s="6"/>
      <c r="B47" s="3"/>
      <c r="C47">
        <f>COUNTIF('RAW Data'!Q$5:Q$54, "Yes")</f>
        <v>27</v>
      </c>
      <c r="D47">
        <f>COUNTIF('RAW Data'!R$5:R$54, "Yes")</f>
        <v>16</v>
      </c>
      <c r="E47" s="3" t="str">
        <f>E41</f>
        <v xml:space="preserve">  &lt;- No</v>
      </c>
    </row>
    <row r="48" spans="1:5" x14ac:dyDescent="0.25">
      <c r="A48" s="6"/>
      <c r="B48" s="3"/>
      <c r="C48">
        <f>COUNTIF('RAW Data'!Q$5:Q$54, "No")</f>
        <v>5</v>
      </c>
      <c r="D48">
        <f>COUNTIF('RAW Data'!R$5:R$54, "No")</f>
        <v>5</v>
      </c>
      <c r="E48" s="3" t="str">
        <f>E42</f>
        <v xml:space="preserve">  &lt;- No Opinion</v>
      </c>
    </row>
    <row r="49" spans="1:5" x14ac:dyDescent="0.25">
      <c r="A49" s="6"/>
      <c r="B49" s="3"/>
      <c r="C49">
        <f>COUNTIF('RAW Data'!Q$5:Q$54, "No Opinion")</f>
        <v>18</v>
      </c>
      <c r="D49">
        <f>COUNTIF('RAW Data'!R$5:R$54, "No Opinion")</f>
        <v>29</v>
      </c>
      <c r="E49" s="3" t="str">
        <f>E43</f>
        <v xml:space="preserve">  &lt;- Percent "Yes"</v>
      </c>
    </row>
    <row r="50" spans="1:5" x14ac:dyDescent="0.25">
      <c r="A50" s="6"/>
      <c r="B50" s="3"/>
      <c r="C50" s="1">
        <f>C47/(C47+C48)</f>
        <v>0.84375</v>
      </c>
      <c r="D50" s="1">
        <f>D47/(D47+D48)</f>
        <v>0.76190476190476186</v>
      </c>
      <c r="E50" s="3"/>
    </row>
    <row r="51" spans="1:5" x14ac:dyDescent="0.25">
      <c r="A51" s="6"/>
      <c r="B51" s="3"/>
    </row>
    <row r="52" spans="1:5" x14ac:dyDescent="0.25">
      <c r="A52" s="6" t="s">
        <v>120</v>
      </c>
      <c r="B52" s="3" t="s">
        <v>119</v>
      </c>
    </row>
    <row r="53" spans="1:5" x14ac:dyDescent="0.25">
      <c r="A53" s="6"/>
      <c r="B53" s="3"/>
    </row>
  </sheetData>
  <conditionalFormatting sqref="C50:D50 C31:D31 C37:D37 C7:D7 C13:D13 C19:D19 C25:D25 C43:D43">
    <cfRule type="cellIs" dxfId="2" priority="60" operator="greaterThan">
      <formula>$M$115</formula>
    </cfRule>
    <cfRule type="cellIs" dxfId="1" priority="61" operator="lessThan">
      <formula>$B$5</formula>
    </cfRule>
    <cfRule type="cellIs" dxfId="0" priority="62" operator="greaterThan">
      <formula>$B$5</formula>
    </cfRule>
  </conditionalFormatting>
  <pageMargins left="0.7" right="0.7" top="0.75" bottom="0.75" header="0.3" footer="0.3"/>
  <pageSetup scale="89" fitToWidth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workbookViewId="0">
      <selection activeCell="A3" sqref="A3"/>
    </sheetView>
  </sheetViews>
  <sheetFormatPr defaultRowHeight="15" x14ac:dyDescent="0.25"/>
  <cols>
    <col min="1" max="1" width="25.7109375" bestFit="1" customWidth="1"/>
    <col min="2" max="2" width="31.5703125" bestFit="1" customWidth="1"/>
    <col min="3" max="17" width="14" customWidth="1"/>
    <col min="18" max="18" width="18.42578125" customWidth="1"/>
    <col min="19" max="22" width="14" customWidth="1"/>
    <col min="23" max="23" width="31" customWidth="1"/>
  </cols>
  <sheetData>
    <row r="1" spans="1:39" ht="23.25" x14ac:dyDescent="0.35">
      <c r="A1" s="4" t="s">
        <v>127</v>
      </c>
    </row>
    <row r="2" spans="1:39" x14ac:dyDescent="0.25">
      <c r="A2" s="16">
        <f>'Iowa Men''s Fastpitch Summary'!A2</f>
        <v>46113</v>
      </c>
    </row>
    <row r="3" spans="1:39" x14ac:dyDescent="0.25">
      <c r="C3" s="3" t="s">
        <v>131</v>
      </c>
      <c r="T3" s="11"/>
      <c r="U3" s="11"/>
      <c r="V3" s="11"/>
      <c r="W3" s="11"/>
      <c r="X3" s="12"/>
      <c r="Y3" s="12"/>
      <c r="Z3" s="12"/>
      <c r="AA3" s="12"/>
      <c r="AB3" s="12"/>
      <c r="AC3" s="12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39" x14ac:dyDescent="0.25">
      <c r="A4" s="5" t="s">
        <v>126</v>
      </c>
      <c r="B4" s="5" t="s">
        <v>125</v>
      </c>
      <c r="C4" s="7" t="s">
        <v>99</v>
      </c>
      <c r="D4" s="7" t="s">
        <v>100</v>
      </c>
      <c r="E4" s="7" t="s">
        <v>101</v>
      </c>
      <c r="F4" s="7" t="s">
        <v>102</v>
      </c>
      <c r="G4" s="7" t="s">
        <v>103</v>
      </c>
      <c r="H4" s="7" t="s">
        <v>104</v>
      </c>
      <c r="I4" s="7" t="s">
        <v>105</v>
      </c>
      <c r="J4" s="7" t="s">
        <v>106</v>
      </c>
      <c r="K4" s="7" t="s">
        <v>107</v>
      </c>
      <c r="L4" s="7" t="s">
        <v>108</v>
      </c>
      <c r="M4" s="7" t="s">
        <v>109</v>
      </c>
      <c r="N4" s="7" t="s">
        <v>110</v>
      </c>
      <c r="O4" s="7" t="s">
        <v>111</v>
      </c>
      <c r="P4" s="7" t="s">
        <v>133</v>
      </c>
      <c r="Q4" s="7" t="s">
        <v>112</v>
      </c>
      <c r="R4" s="7" t="s">
        <v>132</v>
      </c>
      <c r="S4" s="15" t="s">
        <v>2</v>
      </c>
      <c r="T4" s="14" t="s">
        <v>1</v>
      </c>
      <c r="U4" s="14" t="s">
        <v>0</v>
      </c>
    </row>
    <row r="5" spans="1:39" s="17" customFormat="1" x14ac:dyDescent="0.25">
      <c r="A5" s="17" t="s">
        <v>3</v>
      </c>
      <c r="B5" s="17" t="s">
        <v>4</v>
      </c>
      <c r="C5" s="17" t="s">
        <v>2</v>
      </c>
      <c r="D5" s="17" t="s">
        <v>0</v>
      </c>
      <c r="E5" s="17" t="s">
        <v>0</v>
      </c>
      <c r="F5" s="17" t="s">
        <v>0</v>
      </c>
      <c r="G5" s="17" t="s">
        <v>0</v>
      </c>
      <c r="H5" s="17" t="s">
        <v>0</v>
      </c>
      <c r="I5" s="17" t="s">
        <v>0</v>
      </c>
      <c r="J5" s="17" t="s">
        <v>0</v>
      </c>
      <c r="K5" s="17" t="s">
        <v>0</v>
      </c>
      <c r="L5" s="17" t="s">
        <v>2</v>
      </c>
      <c r="M5" s="17" t="s">
        <v>0</v>
      </c>
      <c r="N5" s="17" t="s">
        <v>0</v>
      </c>
      <c r="O5" s="17" t="s">
        <v>1</v>
      </c>
      <c r="P5" s="17" t="s">
        <v>0</v>
      </c>
      <c r="Q5" s="17" t="s">
        <v>0</v>
      </c>
      <c r="R5" s="17" t="s">
        <v>0</v>
      </c>
      <c r="S5" s="17">
        <f>COUNTIF(C5:R5, "Yes")</f>
        <v>2</v>
      </c>
      <c r="T5" s="17">
        <f>COUNTIF(C5:R5, "No")</f>
        <v>1</v>
      </c>
      <c r="U5" s="17">
        <f>COUNTIF(C5:R5, "No Opinion")</f>
        <v>13</v>
      </c>
      <c r="W5" s="17" t="s">
        <v>4</v>
      </c>
    </row>
    <row r="6" spans="1:39" s="17" customFormat="1" x14ac:dyDescent="0.25">
      <c r="A6" s="17" t="s">
        <v>5</v>
      </c>
      <c r="B6" s="17" t="s">
        <v>6</v>
      </c>
      <c r="C6" s="17" t="s">
        <v>0</v>
      </c>
      <c r="D6" s="17" t="s">
        <v>2</v>
      </c>
      <c r="E6" s="17" t="s">
        <v>0</v>
      </c>
      <c r="F6" s="17" t="s">
        <v>2</v>
      </c>
      <c r="G6" s="17" t="s">
        <v>2</v>
      </c>
      <c r="H6" s="17" t="s">
        <v>2</v>
      </c>
      <c r="I6" s="17" t="s">
        <v>0</v>
      </c>
      <c r="J6" s="17" t="s">
        <v>0</v>
      </c>
      <c r="K6" s="17" t="s">
        <v>0</v>
      </c>
      <c r="L6" s="17" t="s">
        <v>2</v>
      </c>
      <c r="M6" s="17" t="s">
        <v>2</v>
      </c>
      <c r="N6" s="17" t="s">
        <v>0</v>
      </c>
      <c r="O6" s="17" t="s">
        <v>0</v>
      </c>
      <c r="P6" s="17" t="s">
        <v>0</v>
      </c>
      <c r="Q6" s="17" t="s">
        <v>2</v>
      </c>
      <c r="R6" s="17" t="s">
        <v>2</v>
      </c>
      <c r="S6" s="17">
        <f t="shared" ref="S6:S54" si="0">COUNTIF(C6:R6, "Yes")</f>
        <v>8</v>
      </c>
      <c r="T6" s="17">
        <f t="shared" ref="T6:T54" si="1">COUNTIF(C6:R6, "No")</f>
        <v>0</v>
      </c>
      <c r="U6" s="17">
        <f t="shared" ref="U6:U54" si="2">COUNTIF(C6:R6, "No Opinion")</f>
        <v>8</v>
      </c>
      <c r="W6" s="17" t="s">
        <v>6</v>
      </c>
    </row>
    <row r="7" spans="1:39" s="17" customFormat="1" x14ac:dyDescent="0.25">
      <c r="A7" s="17" t="s">
        <v>7</v>
      </c>
      <c r="B7" s="17" t="s">
        <v>8</v>
      </c>
      <c r="C7" s="17" t="s">
        <v>0</v>
      </c>
      <c r="D7" s="17" t="s">
        <v>0</v>
      </c>
      <c r="E7" s="17" t="s">
        <v>0</v>
      </c>
      <c r="F7" s="17" t="s">
        <v>1</v>
      </c>
      <c r="G7" s="17" t="s">
        <v>2</v>
      </c>
      <c r="H7" s="17" t="s">
        <v>0</v>
      </c>
      <c r="I7" s="17" t="s">
        <v>2</v>
      </c>
      <c r="J7" s="17" t="s">
        <v>0</v>
      </c>
      <c r="K7" s="17" t="s">
        <v>0</v>
      </c>
      <c r="L7" s="17" t="s">
        <v>2</v>
      </c>
      <c r="M7" s="17" t="s">
        <v>2</v>
      </c>
      <c r="N7" s="17" t="s">
        <v>0</v>
      </c>
      <c r="O7" s="17" t="s">
        <v>0</v>
      </c>
      <c r="P7" s="17" t="s">
        <v>0</v>
      </c>
      <c r="Q7" s="17" t="s">
        <v>1</v>
      </c>
      <c r="R7" s="17" t="s">
        <v>0</v>
      </c>
      <c r="S7" s="17">
        <f t="shared" si="0"/>
        <v>4</v>
      </c>
      <c r="T7" s="17">
        <f t="shared" si="1"/>
        <v>2</v>
      </c>
      <c r="U7" s="17">
        <f t="shared" si="2"/>
        <v>10</v>
      </c>
      <c r="W7" s="17" t="s">
        <v>8</v>
      </c>
    </row>
    <row r="8" spans="1:39" s="17" customFormat="1" x14ac:dyDescent="0.25">
      <c r="A8" s="17" t="s">
        <v>9</v>
      </c>
      <c r="B8" s="17" t="s">
        <v>10</v>
      </c>
      <c r="C8" s="17" t="s">
        <v>0</v>
      </c>
      <c r="D8" s="17" t="s">
        <v>0</v>
      </c>
      <c r="E8" s="17" t="s">
        <v>0</v>
      </c>
      <c r="F8" s="17" t="s">
        <v>0</v>
      </c>
      <c r="G8" s="17" t="s">
        <v>0</v>
      </c>
      <c r="H8" s="17" t="s">
        <v>0</v>
      </c>
      <c r="I8" s="17" t="s">
        <v>2</v>
      </c>
      <c r="J8" s="17" t="s">
        <v>2</v>
      </c>
      <c r="K8" s="17" t="s">
        <v>0</v>
      </c>
      <c r="L8" s="17" t="s">
        <v>0</v>
      </c>
      <c r="M8" s="17" t="s">
        <v>2</v>
      </c>
      <c r="N8" s="17" t="s">
        <v>0</v>
      </c>
      <c r="O8" s="17" t="s">
        <v>0</v>
      </c>
      <c r="P8" s="17" t="s">
        <v>2</v>
      </c>
      <c r="Q8" s="17" t="s">
        <v>0</v>
      </c>
      <c r="R8" s="17" t="s">
        <v>0</v>
      </c>
      <c r="S8" s="17">
        <f t="shared" si="0"/>
        <v>4</v>
      </c>
      <c r="T8" s="17">
        <f t="shared" si="1"/>
        <v>0</v>
      </c>
      <c r="U8" s="17">
        <f t="shared" si="2"/>
        <v>12</v>
      </c>
      <c r="W8" s="17" t="s">
        <v>10</v>
      </c>
    </row>
    <row r="9" spans="1:39" s="17" customFormat="1" x14ac:dyDescent="0.25">
      <c r="A9" s="17" t="s">
        <v>11</v>
      </c>
      <c r="B9" s="17" t="s">
        <v>12</v>
      </c>
      <c r="C9" s="17" t="s">
        <v>1</v>
      </c>
      <c r="D9" s="17" t="s">
        <v>1</v>
      </c>
      <c r="E9" s="17" t="s">
        <v>1</v>
      </c>
      <c r="F9" s="17" t="s">
        <v>2</v>
      </c>
      <c r="G9" s="17" t="s">
        <v>1</v>
      </c>
      <c r="H9" s="17" t="s">
        <v>2</v>
      </c>
      <c r="I9" s="17" t="s">
        <v>1</v>
      </c>
      <c r="J9" s="17" t="s">
        <v>1</v>
      </c>
      <c r="K9" s="17" t="s">
        <v>2</v>
      </c>
      <c r="L9" s="17" t="s">
        <v>2</v>
      </c>
      <c r="M9" s="17" t="s">
        <v>2</v>
      </c>
      <c r="N9" s="17" t="s">
        <v>1</v>
      </c>
      <c r="O9" s="17" t="s">
        <v>2</v>
      </c>
      <c r="P9" s="17" t="s">
        <v>2</v>
      </c>
      <c r="Q9" s="17" t="s">
        <v>2</v>
      </c>
      <c r="R9" s="17" t="s">
        <v>1</v>
      </c>
      <c r="S9" s="17">
        <f t="shared" si="0"/>
        <v>8</v>
      </c>
      <c r="T9" s="17">
        <f t="shared" si="1"/>
        <v>8</v>
      </c>
      <c r="U9" s="17">
        <f t="shared" si="2"/>
        <v>0</v>
      </c>
      <c r="W9" s="17" t="s">
        <v>12</v>
      </c>
    </row>
    <row r="10" spans="1:39" s="17" customFormat="1" x14ac:dyDescent="0.25">
      <c r="A10" s="17" t="s">
        <v>13</v>
      </c>
      <c r="B10" s="17" t="s">
        <v>14</v>
      </c>
      <c r="C10" s="17" t="s">
        <v>0</v>
      </c>
      <c r="D10" s="17" t="s">
        <v>0</v>
      </c>
      <c r="E10" s="17" t="s">
        <v>2</v>
      </c>
      <c r="F10" s="17" t="s">
        <v>0</v>
      </c>
      <c r="G10" s="17" t="s">
        <v>0</v>
      </c>
      <c r="H10" s="17" t="s">
        <v>0</v>
      </c>
      <c r="I10" s="17" t="s">
        <v>0</v>
      </c>
      <c r="J10" s="17" t="s">
        <v>0</v>
      </c>
      <c r="K10" s="17" t="s">
        <v>0</v>
      </c>
      <c r="L10" s="17" t="s">
        <v>0</v>
      </c>
      <c r="M10" s="17" t="s">
        <v>2</v>
      </c>
      <c r="N10" s="17" t="s">
        <v>0</v>
      </c>
      <c r="O10" s="17" t="s">
        <v>0</v>
      </c>
      <c r="P10" s="17" t="s">
        <v>0</v>
      </c>
      <c r="Q10" s="17" t="s">
        <v>0</v>
      </c>
      <c r="R10" s="17" t="s">
        <v>0</v>
      </c>
      <c r="S10" s="17">
        <f t="shared" si="0"/>
        <v>2</v>
      </c>
      <c r="T10" s="17">
        <f t="shared" si="1"/>
        <v>0</v>
      </c>
      <c r="U10" s="17">
        <f t="shared" si="2"/>
        <v>14</v>
      </c>
      <c r="W10" s="17" t="s">
        <v>14</v>
      </c>
    </row>
    <row r="11" spans="1:39" s="17" customFormat="1" x14ac:dyDescent="0.25">
      <c r="A11" s="17" t="s">
        <v>15</v>
      </c>
      <c r="B11" s="17" t="s">
        <v>16</v>
      </c>
      <c r="C11" s="17" t="s">
        <v>1</v>
      </c>
      <c r="D11" s="17" t="s">
        <v>2</v>
      </c>
      <c r="E11" s="17" t="s">
        <v>0</v>
      </c>
      <c r="F11" s="17" t="s">
        <v>0</v>
      </c>
      <c r="G11" s="17" t="s">
        <v>2</v>
      </c>
      <c r="H11" s="17" t="s">
        <v>1</v>
      </c>
      <c r="I11" s="17" t="s">
        <v>0</v>
      </c>
      <c r="J11" s="17" t="s">
        <v>0</v>
      </c>
      <c r="K11" s="17" t="s">
        <v>2</v>
      </c>
      <c r="L11" s="17" t="s">
        <v>0</v>
      </c>
      <c r="M11" s="17" t="s">
        <v>2</v>
      </c>
      <c r="N11" s="17" t="s">
        <v>0</v>
      </c>
      <c r="O11" s="17" t="s">
        <v>1</v>
      </c>
      <c r="P11" s="17" t="s">
        <v>0</v>
      </c>
      <c r="Q11" s="17" t="s">
        <v>2</v>
      </c>
      <c r="R11" s="17" t="s">
        <v>2</v>
      </c>
      <c r="S11" s="17">
        <f t="shared" si="0"/>
        <v>6</v>
      </c>
      <c r="T11" s="17">
        <f t="shared" si="1"/>
        <v>3</v>
      </c>
      <c r="U11" s="17">
        <f t="shared" si="2"/>
        <v>7</v>
      </c>
      <c r="W11" s="17" t="s">
        <v>16</v>
      </c>
    </row>
    <row r="12" spans="1:39" x14ac:dyDescent="0.25">
      <c r="A12" s="17" t="s">
        <v>135</v>
      </c>
      <c r="B12" s="22" t="s">
        <v>134</v>
      </c>
      <c r="C12" s="22" t="s">
        <v>2</v>
      </c>
      <c r="D12" s="22" t="s">
        <v>2</v>
      </c>
      <c r="E12" s="22" t="s">
        <v>2</v>
      </c>
      <c r="F12" s="22" t="s">
        <v>2</v>
      </c>
      <c r="G12" s="22" t="s">
        <v>2</v>
      </c>
      <c r="H12" s="22" t="s">
        <v>2</v>
      </c>
      <c r="I12" s="22" t="s">
        <v>2</v>
      </c>
      <c r="J12" s="22" t="s">
        <v>2</v>
      </c>
      <c r="K12" s="22" t="s">
        <v>2</v>
      </c>
      <c r="L12" s="22" t="s">
        <v>2</v>
      </c>
      <c r="M12" s="22" t="s">
        <v>2</v>
      </c>
      <c r="N12" s="22" t="s">
        <v>2</v>
      </c>
      <c r="O12" s="22" t="s">
        <v>2</v>
      </c>
      <c r="P12" s="22" t="s">
        <v>2</v>
      </c>
      <c r="Q12" s="22" t="s">
        <v>2</v>
      </c>
      <c r="R12" s="22" t="s">
        <v>2</v>
      </c>
      <c r="S12" s="17">
        <f t="shared" ref="S12" si="3">COUNTIF(C12:R12, "Yes")</f>
        <v>16</v>
      </c>
      <c r="T12" s="17">
        <f t="shared" ref="T12" si="4">COUNTIF(C12:R12, "No")</f>
        <v>0</v>
      </c>
      <c r="U12" s="17">
        <f t="shared" ref="U12" si="5">COUNTIF(C12:R12, "No Opinion")</f>
        <v>0</v>
      </c>
      <c r="V12" s="22" t="s">
        <v>2</v>
      </c>
      <c r="W12" s="22" t="s">
        <v>134</v>
      </c>
      <c r="X12" s="23"/>
      <c r="Y12" s="21"/>
      <c r="Z12" s="21"/>
      <c r="AA12" s="21"/>
      <c r="AB12" s="21"/>
      <c r="AC12" s="21"/>
      <c r="AD12" s="21"/>
    </row>
    <row r="13" spans="1:39" s="17" customFormat="1" x14ac:dyDescent="0.25">
      <c r="A13" s="17" t="s">
        <v>17</v>
      </c>
      <c r="B13" s="17" t="s">
        <v>18</v>
      </c>
      <c r="C13" s="17" t="s">
        <v>1</v>
      </c>
      <c r="D13" s="17" t="s">
        <v>2</v>
      </c>
      <c r="E13" s="17" t="s">
        <v>1</v>
      </c>
      <c r="F13" s="17" t="s">
        <v>1</v>
      </c>
      <c r="G13" s="17" t="s">
        <v>1</v>
      </c>
      <c r="H13" s="17" t="s">
        <v>1</v>
      </c>
      <c r="I13" s="17" t="s">
        <v>0</v>
      </c>
      <c r="J13" s="17" t="s">
        <v>1</v>
      </c>
      <c r="K13" s="17" t="s">
        <v>1</v>
      </c>
      <c r="L13" s="17" t="s">
        <v>2</v>
      </c>
      <c r="M13" s="17" t="s">
        <v>1</v>
      </c>
      <c r="N13" s="17" t="s">
        <v>1</v>
      </c>
      <c r="O13" s="17" t="s">
        <v>1</v>
      </c>
      <c r="P13" s="17" t="s">
        <v>2</v>
      </c>
      <c r="Q13" s="17" t="s">
        <v>1</v>
      </c>
      <c r="R13" s="17" t="s">
        <v>1</v>
      </c>
      <c r="S13" s="17">
        <f t="shared" si="0"/>
        <v>3</v>
      </c>
      <c r="T13" s="17">
        <f t="shared" si="1"/>
        <v>12</v>
      </c>
      <c r="U13" s="17">
        <f t="shared" si="2"/>
        <v>1</v>
      </c>
      <c r="W13" s="17" t="s">
        <v>18</v>
      </c>
    </row>
    <row r="14" spans="1:39" s="17" customFormat="1" x14ac:dyDescent="0.25">
      <c r="A14" s="17" t="s">
        <v>19</v>
      </c>
      <c r="B14" s="17" t="s">
        <v>20</v>
      </c>
      <c r="C14" s="17" t="s">
        <v>2</v>
      </c>
      <c r="D14" s="17" t="s">
        <v>0</v>
      </c>
      <c r="E14" s="17" t="s">
        <v>0</v>
      </c>
      <c r="F14" s="17" t="s">
        <v>0</v>
      </c>
      <c r="G14" s="17" t="s">
        <v>0</v>
      </c>
      <c r="H14" s="17" t="s">
        <v>0</v>
      </c>
      <c r="I14" s="17" t="s">
        <v>0</v>
      </c>
      <c r="J14" s="17" t="s">
        <v>0</v>
      </c>
      <c r="K14" s="17" t="s">
        <v>2</v>
      </c>
      <c r="L14" s="17" t="s">
        <v>0</v>
      </c>
      <c r="M14" s="17" t="s">
        <v>2</v>
      </c>
      <c r="N14" s="17" t="s">
        <v>0</v>
      </c>
      <c r="O14" s="17" t="s">
        <v>0</v>
      </c>
      <c r="P14" s="17" t="s">
        <v>0</v>
      </c>
      <c r="Q14" s="17" t="s">
        <v>0</v>
      </c>
      <c r="R14" s="17" t="s">
        <v>0</v>
      </c>
      <c r="S14" s="17">
        <f t="shared" si="0"/>
        <v>3</v>
      </c>
      <c r="T14" s="17">
        <f t="shared" si="1"/>
        <v>0</v>
      </c>
      <c r="U14" s="17">
        <f t="shared" si="2"/>
        <v>13</v>
      </c>
      <c r="W14" s="17" t="s">
        <v>20</v>
      </c>
    </row>
    <row r="15" spans="1:39" s="17" customFormat="1" x14ac:dyDescent="0.25">
      <c r="A15" s="17" t="s">
        <v>21</v>
      </c>
      <c r="B15" s="17" t="s">
        <v>22</v>
      </c>
      <c r="C15" s="17" t="s">
        <v>2</v>
      </c>
      <c r="D15" s="17" t="s">
        <v>2</v>
      </c>
      <c r="E15" s="17" t="s">
        <v>1</v>
      </c>
      <c r="F15" s="17" t="s">
        <v>2</v>
      </c>
      <c r="G15" s="17" t="s">
        <v>0</v>
      </c>
      <c r="H15" s="17" t="s">
        <v>1</v>
      </c>
      <c r="I15" s="17" t="s">
        <v>1</v>
      </c>
      <c r="J15" s="17" t="s">
        <v>0</v>
      </c>
      <c r="K15" s="17" t="s">
        <v>2</v>
      </c>
      <c r="L15" s="17" t="s">
        <v>2</v>
      </c>
      <c r="M15" s="17" t="s">
        <v>2</v>
      </c>
      <c r="N15" s="17" t="s">
        <v>1</v>
      </c>
      <c r="O15" s="17" t="s">
        <v>0</v>
      </c>
      <c r="P15" s="17" t="s">
        <v>2</v>
      </c>
      <c r="Q15" s="17" t="s">
        <v>2</v>
      </c>
      <c r="R15" s="17" t="s">
        <v>0</v>
      </c>
      <c r="S15" s="17">
        <f t="shared" si="0"/>
        <v>8</v>
      </c>
      <c r="T15" s="17">
        <f t="shared" si="1"/>
        <v>4</v>
      </c>
      <c r="U15" s="17">
        <f t="shared" si="2"/>
        <v>4</v>
      </c>
      <c r="W15" s="17" t="s">
        <v>22</v>
      </c>
    </row>
    <row r="16" spans="1:39" s="17" customFormat="1" x14ac:dyDescent="0.25">
      <c r="A16" s="17" t="s">
        <v>23</v>
      </c>
      <c r="B16" s="17" t="s">
        <v>24</v>
      </c>
      <c r="C16" s="17" t="s">
        <v>0</v>
      </c>
      <c r="D16" s="17" t="s">
        <v>2</v>
      </c>
      <c r="E16" s="17" t="s">
        <v>0</v>
      </c>
      <c r="F16" s="17" t="s">
        <v>2</v>
      </c>
      <c r="G16" s="17" t="s">
        <v>1</v>
      </c>
      <c r="H16" s="17" t="s">
        <v>0</v>
      </c>
      <c r="I16" s="17" t="s">
        <v>2</v>
      </c>
      <c r="J16" s="17" t="s">
        <v>0</v>
      </c>
      <c r="K16" s="17" t="s">
        <v>0</v>
      </c>
      <c r="L16" s="17" t="s">
        <v>2</v>
      </c>
      <c r="M16" s="17" t="s">
        <v>2</v>
      </c>
      <c r="N16" s="17" t="s">
        <v>0</v>
      </c>
      <c r="O16" s="17" t="s">
        <v>0</v>
      </c>
      <c r="P16" s="17" t="s">
        <v>0</v>
      </c>
      <c r="Q16" s="17" t="s">
        <v>2</v>
      </c>
      <c r="R16" s="17" t="s">
        <v>0</v>
      </c>
      <c r="S16" s="17">
        <f t="shared" si="0"/>
        <v>6</v>
      </c>
      <c r="T16" s="17">
        <f t="shared" si="1"/>
        <v>1</v>
      </c>
      <c r="U16" s="17">
        <f t="shared" si="2"/>
        <v>9</v>
      </c>
      <c r="W16" s="17" t="s">
        <v>24</v>
      </c>
    </row>
    <row r="17" spans="1:23" s="17" customFormat="1" x14ac:dyDescent="0.25">
      <c r="A17" s="17" t="s">
        <v>25</v>
      </c>
      <c r="B17" s="17" t="s">
        <v>26</v>
      </c>
      <c r="C17" s="17" t="s">
        <v>1</v>
      </c>
      <c r="D17" s="17" t="s">
        <v>0</v>
      </c>
      <c r="E17" s="17" t="s">
        <v>0</v>
      </c>
      <c r="F17" s="17" t="s">
        <v>2</v>
      </c>
      <c r="G17" s="17" t="s">
        <v>2</v>
      </c>
      <c r="H17" s="17" t="s">
        <v>2</v>
      </c>
      <c r="I17" s="17" t="s">
        <v>0</v>
      </c>
      <c r="J17" s="17" t="s">
        <v>0</v>
      </c>
      <c r="K17" s="17" t="s">
        <v>0</v>
      </c>
      <c r="L17" s="17" t="s">
        <v>2</v>
      </c>
      <c r="M17" s="17" t="s">
        <v>2</v>
      </c>
      <c r="N17" s="17" t="s">
        <v>1</v>
      </c>
      <c r="O17" s="17" t="s">
        <v>0</v>
      </c>
      <c r="P17" s="17" t="s">
        <v>0</v>
      </c>
      <c r="Q17" s="17" t="s">
        <v>2</v>
      </c>
      <c r="R17" s="17" t="s">
        <v>0</v>
      </c>
      <c r="S17" s="17">
        <f t="shared" si="0"/>
        <v>6</v>
      </c>
      <c r="T17" s="17">
        <f t="shared" si="1"/>
        <v>2</v>
      </c>
      <c r="U17" s="17">
        <f t="shared" si="2"/>
        <v>8</v>
      </c>
      <c r="W17" s="17" t="s">
        <v>26</v>
      </c>
    </row>
    <row r="18" spans="1:23" s="17" customFormat="1" x14ac:dyDescent="0.25">
      <c r="A18" s="17" t="s">
        <v>27</v>
      </c>
      <c r="B18" s="17" t="s">
        <v>28</v>
      </c>
      <c r="C18" s="17" t="s">
        <v>2</v>
      </c>
      <c r="D18" s="17" t="s">
        <v>0</v>
      </c>
      <c r="E18" s="17" t="s">
        <v>0</v>
      </c>
      <c r="F18" s="17" t="s">
        <v>2</v>
      </c>
      <c r="G18" s="17" t="s">
        <v>2</v>
      </c>
      <c r="H18" s="17" t="s">
        <v>2</v>
      </c>
      <c r="I18" s="17" t="s">
        <v>0</v>
      </c>
      <c r="J18" s="17" t="s">
        <v>0</v>
      </c>
      <c r="K18" s="17" t="s">
        <v>2</v>
      </c>
      <c r="L18" s="17" t="s">
        <v>0</v>
      </c>
      <c r="M18" s="17" t="s">
        <v>0</v>
      </c>
      <c r="N18" s="17" t="s">
        <v>0</v>
      </c>
      <c r="O18" s="17" t="s">
        <v>2</v>
      </c>
      <c r="P18" s="17" t="s">
        <v>0</v>
      </c>
      <c r="Q18" s="17" t="s">
        <v>2</v>
      </c>
      <c r="R18" s="17" t="s">
        <v>2</v>
      </c>
      <c r="S18" s="17">
        <f t="shared" si="0"/>
        <v>8</v>
      </c>
      <c r="T18" s="17">
        <f t="shared" si="1"/>
        <v>0</v>
      </c>
      <c r="U18" s="17">
        <f t="shared" si="2"/>
        <v>8</v>
      </c>
      <c r="W18" s="17" t="s">
        <v>28</v>
      </c>
    </row>
    <row r="19" spans="1:23" s="17" customFormat="1" x14ac:dyDescent="0.25">
      <c r="A19" s="17" t="s">
        <v>29</v>
      </c>
      <c r="B19" s="17" t="s">
        <v>30</v>
      </c>
      <c r="C19" s="17" t="s">
        <v>1</v>
      </c>
      <c r="D19" s="17" t="s">
        <v>0</v>
      </c>
      <c r="E19" s="17" t="s">
        <v>0</v>
      </c>
      <c r="F19" s="17" t="s">
        <v>0</v>
      </c>
      <c r="G19" s="17" t="s">
        <v>0</v>
      </c>
      <c r="H19" s="17" t="s">
        <v>2</v>
      </c>
      <c r="I19" s="17" t="s">
        <v>0</v>
      </c>
      <c r="J19" s="17" t="s">
        <v>0</v>
      </c>
      <c r="K19" s="17" t="s">
        <v>2</v>
      </c>
      <c r="L19" s="17" t="s">
        <v>0</v>
      </c>
      <c r="M19" s="17" t="s">
        <v>0</v>
      </c>
      <c r="N19" s="17" t="s">
        <v>0</v>
      </c>
      <c r="O19" s="17" t="s">
        <v>0</v>
      </c>
      <c r="P19" s="17" t="s">
        <v>2</v>
      </c>
      <c r="Q19" s="17" t="s">
        <v>0</v>
      </c>
      <c r="R19" s="17" t="s">
        <v>0</v>
      </c>
      <c r="S19" s="17">
        <f t="shared" si="0"/>
        <v>3</v>
      </c>
      <c r="T19" s="17">
        <f t="shared" si="1"/>
        <v>1</v>
      </c>
      <c r="U19" s="17">
        <f t="shared" si="2"/>
        <v>12</v>
      </c>
      <c r="W19" s="17" t="s">
        <v>30</v>
      </c>
    </row>
    <row r="20" spans="1:23" s="17" customFormat="1" x14ac:dyDescent="0.25">
      <c r="A20" s="17" t="s">
        <v>31</v>
      </c>
      <c r="B20" s="17" t="s">
        <v>32</v>
      </c>
      <c r="C20" s="17" t="s">
        <v>2</v>
      </c>
      <c r="D20" s="17" t="s">
        <v>0</v>
      </c>
      <c r="E20" s="17" t="s">
        <v>0</v>
      </c>
      <c r="F20" s="17" t="s">
        <v>2</v>
      </c>
      <c r="G20" s="17" t="s">
        <v>0</v>
      </c>
      <c r="H20" s="17" t="s">
        <v>0</v>
      </c>
      <c r="I20" s="17" t="s">
        <v>0</v>
      </c>
      <c r="J20" s="17" t="s">
        <v>2</v>
      </c>
      <c r="K20" s="17" t="s">
        <v>0</v>
      </c>
      <c r="L20" s="17" t="s">
        <v>2</v>
      </c>
      <c r="M20" s="17" t="s">
        <v>2</v>
      </c>
      <c r="N20" s="17" t="s">
        <v>0</v>
      </c>
      <c r="O20" s="17" t="s">
        <v>0</v>
      </c>
      <c r="P20" s="17" t="s">
        <v>0</v>
      </c>
      <c r="Q20" s="17" t="s">
        <v>0</v>
      </c>
      <c r="R20" s="17" t="s">
        <v>0</v>
      </c>
      <c r="S20" s="17">
        <f t="shared" si="0"/>
        <v>5</v>
      </c>
      <c r="T20" s="17">
        <f t="shared" si="1"/>
        <v>0</v>
      </c>
      <c r="U20" s="17">
        <f t="shared" si="2"/>
        <v>11</v>
      </c>
      <c r="W20" s="17" t="s">
        <v>32</v>
      </c>
    </row>
    <row r="21" spans="1:23" s="17" customFormat="1" x14ac:dyDescent="0.25">
      <c r="A21" s="17" t="s">
        <v>33</v>
      </c>
      <c r="B21" s="17" t="s">
        <v>34</v>
      </c>
      <c r="C21" s="17" t="s">
        <v>2</v>
      </c>
      <c r="D21" s="17" t="s">
        <v>2</v>
      </c>
      <c r="E21" s="17" t="s">
        <v>2</v>
      </c>
      <c r="F21" s="17" t="s">
        <v>2</v>
      </c>
      <c r="G21" s="17" t="s">
        <v>2</v>
      </c>
      <c r="H21" s="17" t="s">
        <v>2</v>
      </c>
      <c r="I21" s="17" t="s">
        <v>1</v>
      </c>
      <c r="J21" s="17" t="s">
        <v>2</v>
      </c>
      <c r="K21" s="17" t="s">
        <v>1</v>
      </c>
      <c r="L21" s="17" t="s">
        <v>2</v>
      </c>
      <c r="M21" s="17" t="s">
        <v>0</v>
      </c>
      <c r="N21" s="17" t="s">
        <v>0</v>
      </c>
      <c r="O21" s="17" t="s">
        <v>2</v>
      </c>
      <c r="P21" s="17" t="s">
        <v>2</v>
      </c>
      <c r="Q21" s="17" t="s">
        <v>2</v>
      </c>
      <c r="R21" s="17" t="s">
        <v>2</v>
      </c>
      <c r="S21" s="17">
        <f t="shared" si="0"/>
        <v>12</v>
      </c>
      <c r="T21" s="17">
        <f t="shared" si="1"/>
        <v>2</v>
      </c>
      <c r="U21" s="17">
        <f t="shared" si="2"/>
        <v>2</v>
      </c>
      <c r="W21" s="17" t="s">
        <v>34</v>
      </c>
    </row>
    <row r="22" spans="1:23" s="17" customFormat="1" x14ac:dyDescent="0.25">
      <c r="A22" s="17" t="s">
        <v>35</v>
      </c>
      <c r="B22" s="17" t="s">
        <v>36</v>
      </c>
      <c r="C22" s="17" t="s">
        <v>2</v>
      </c>
      <c r="D22" s="17" t="s">
        <v>2</v>
      </c>
      <c r="E22" s="17" t="s">
        <v>1</v>
      </c>
      <c r="F22" s="17" t="s">
        <v>0</v>
      </c>
      <c r="G22" s="17" t="s">
        <v>1</v>
      </c>
      <c r="H22" s="17" t="s">
        <v>1</v>
      </c>
      <c r="I22" s="17" t="s">
        <v>1</v>
      </c>
      <c r="J22" s="17" t="s">
        <v>0</v>
      </c>
      <c r="K22" s="17" t="s">
        <v>2</v>
      </c>
      <c r="L22" s="17" t="s">
        <v>2</v>
      </c>
      <c r="M22" s="17" t="s">
        <v>0</v>
      </c>
      <c r="N22" s="17" t="s">
        <v>1</v>
      </c>
      <c r="O22" s="17" t="s">
        <v>2</v>
      </c>
      <c r="P22" s="17" t="s">
        <v>2</v>
      </c>
      <c r="Q22" s="17" t="s">
        <v>2</v>
      </c>
      <c r="R22" s="17" t="s">
        <v>0</v>
      </c>
      <c r="S22" s="17">
        <f t="shared" si="0"/>
        <v>7</v>
      </c>
      <c r="T22" s="17">
        <f t="shared" si="1"/>
        <v>5</v>
      </c>
      <c r="U22" s="17">
        <f t="shared" si="2"/>
        <v>4</v>
      </c>
      <c r="W22" s="17" t="s">
        <v>36</v>
      </c>
    </row>
    <row r="23" spans="1:23" s="17" customFormat="1" x14ac:dyDescent="0.25">
      <c r="A23" s="17" t="s">
        <v>37</v>
      </c>
      <c r="B23" s="17" t="s">
        <v>38</v>
      </c>
      <c r="C23" s="17" t="s">
        <v>0</v>
      </c>
      <c r="D23" s="17" t="s">
        <v>0</v>
      </c>
      <c r="E23" s="17" t="s">
        <v>1</v>
      </c>
      <c r="F23" s="17" t="s">
        <v>0</v>
      </c>
      <c r="G23" s="17" t="s">
        <v>2</v>
      </c>
      <c r="H23" s="17" t="s">
        <v>2</v>
      </c>
      <c r="I23" s="17" t="s">
        <v>0</v>
      </c>
      <c r="J23" s="17" t="s">
        <v>2</v>
      </c>
      <c r="K23" s="17" t="s">
        <v>2</v>
      </c>
      <c r="L23" s="17" t="s">
        <v>2</v>
      </c>
      <c r="M23" s="17" t="s">
        <v>0</v>
      </c>
      <c r="N23" s="17" t="s">
        <v>0</v>
      </c>
      <c r="O23" s="17" t="s">
        <v>2</v>
      </c>
      <c r="P23" s="17" t="s">
        <v>2</v>
      </c>
      <c r="Q23" s="17" t="s">
        <v>2</v>
      </c>
      <c r="R23" s="17" t="s">
        <v>2</v>
      </c>
      <c r="S23" s="17">
        <f t="shared" si="0"/>
        <v>9</v>
      </c>
      <c r="T23" s="17">
        <f t="shared" si="1"/>
        <v>1</v>
      </c>
      <c r="U23" s="17">
        <f t="shared" si="2"/>
        <v>6</v>
      </c>
      <c r="W23" s="17" t="s">
        <v>38</v>
      </c>
    </row>
    <row r="24" spans="1:23" s="17" customFormat="1" x14ac:dyDescent="0.25">
      <c r="A24" s="17" t="s">
        <v>39</v>
      </c>
      <c r="B24" s="17" t="s">
        <v>40</v>
      </c>
      <c r="C24" s="17" t="s">
        <v>0</v>
      </c>
      <c r="D24" s="17" t="s">
        <v>2</v>
      </c>
      <c r="E24" s="17" t="s">
        <v>0</v>
      </c>
      <c r="F24" s="17" t="s">
        <v>2</v>
      </c>
      <c r="G24" s="17" t="s">
        <v>2</v>
      </c>
      <c r="H24" s="17" t="s">
        <v>0</v>
      </c>
      <c r="I24" s="17" t="s">
        <v>2</v>
      </c>
      <c r="J24" s="17" t="s">
        <v>0</v>
      </c>
      <c r="K24" s="17" t="s">
        <v>0</v>
      </c>
      <c r="L24" s="17" t="s">
        <v>2</v>
      </c>
      <c r="M24" s="17" t="s">
        <v>2</v>
      </c>
      <c r="N24" s="17" t="s">
        <v>0</v>
      </c>
      <c r="O24" s="17" t="s">
        <v>0</v>
      </c>
      <c r="P24" s="17" t="s">
        <v>0</v>
      </c>
      <c r="Q24" s="17" t="s">
        <v>2</v>
      </c>
      <c r="R24" s="17" t="s">
        <v>0</v>
      </c>
      <c r="S24" s="17">
        <f t="shared" si="0"/>
        <v>7</v>
      </c>
      <c r="T24" s="17">
        <f t="shared" si="1"/>
        <v>0</v>
      </c>
      <c r="U24" s="17">
        <f t="shared" si="2"/>
        <v>9</v>
      </c>
      <c r="W24" s="17" t="s">
        <v>40</v>
      </c>
    </row>
    <row r="25" spans="1:23" s="17" customFormat="1" x14ac:dyDescent="0.25">
      <c r="A25" s="17" t="s">
        <v>41</v>
      </c>
      <c r="B25" s="17" t="s">
        <v>42</v>
      </c>
      <c r="C25" s="17" t="s">
        <v>0</v>
      </c>
      <c r="D25" s="17" t="s">
        <v>2</v>
      </c>
      <c r="E25" s="17" t="s">
        <v>1</v>
      </c>
      <c r="F25" s="17" t="s">
        <v>0</v>
      </c>
      <c r="G25" s="17" t="s">
        <v>0</v>
      </c>
      <c r="H25" s="17" t="s">
        <v>0</v>
      </c>
      <c r="I25" s="17" t="s">
        <v>1</v>
      </c>
      <c r="J25" s="17" t="s">
        <v>0</v>
      </c>
      <c r="K25" s="17" t="s">
        <v>0</v>
      </c>
      <c r="L25" s="17" t="s">
        <v>0</v>
      </c>
      <c r="M25" s="17" t="s">
        <v>2</v>
      </c>
      <c r="N25" s="17" t="s">
        <v>0</v>
      </c>
      <c r="O25" s="17" t="s">
        <v>1</v>
      </c>
      <c r="P25" s="17" t="s">
        <v>0</v>
      </c>
      <c r="Q25" s="17" t="s">
        <v>2</v>
      </c>
      <c r="R25" s="17" t="s">
        <v>2</v>
      </c>
      <c r="S25" s="17">
        <f t="shared" si="0"/>
        <v>4</v>
      </c>
      <c r="T25" s="17">
        <f t="shared" si="1"/>
        <v>3</v>
      </c>
      <c r="U25" s="17">
        <f t="shared" si="2"/>
        <v>9</v>
      </c>
      <c r="W25" s="17" t="s">
        <v>42</v>
      </c>
    </row>
    <row r="26" spans="1:23" s="17" customFormat="1" x14ac:dyDescent="0.25">
      <c r="A26" s="17" t="s">
        <v>43</v>
      </c>
      <c r="B26" s="17" t="s">
        <v>44</v>
      </c>
      <c r="C26" s="17" t="s">
        <v>2</v>
      </c>
      <c r="D26" s="17" t="s">
        <v>2</v>
      </c>
      <c r="E26" s="17" t="s">
        <v>0</v>
      </c>
      <c r="F26" s="17" t="s">
        <v>0</v>
      </c>
      <c r="G26" s="17" t="s">
        <v>0</v>
      </c>
      <c r="H26" s="17" t="s">
        <v>0</v>
      </c>
      <c r="I26" s="17" t="s">
        <v>0</v>
      </c>
      <c r="J26" s="17" t="s">
        <v>0</v>
      </c>
      <c r="K26" s="17" t="s">
        <v>2</v>
      </c>
      <c r="L26" s="17" t="s">
        <v>2</v>
      </c>
      <c r="M26" s="17" t="s">
        <v>0</v>
      </c>
      <c r="N26" s="17" t="s">
        <v>0</v>
      </c>
      <c r="O26" s="17" t="s">
        <v>0</v>
      </c>
      <c r="P26" s="17" t="s">
        <v>0</v>
      </c>
      <c r="Q26" s="17" t="s">
        <v>0</v>
      </c>
      <c r="R26" s="17" t="s">
        <v>0</v>
      </c>
      <c r="S26" s="17">
        <f t="shared" si="0"/>
        <v>4</v>
      </c>
      <c r="T26" s="17">
        <f t="shared" si="1"/>
        <v>0</v>
      </c>
      <c r="U26" s="17">
        <f t="shared" si="2"/>
        <v>12</v>
      </c>
      <c r="W26" s="17" t="s">
        <v>44</v>
      </c>
    </row>
    <row r="27" spans="1:23" s="17" customFormat="1" x14ac:dyDescent="0.25">
      <c r="A27" s="17" t="s">
        <v>45</v>
      </c>
      <c r="B27" s="17" t="s">
        <v>46</v>
      </c>
      <c r="C27" s="17" t="s">
        <v>0</v>
      </c>
      <c r="D27" s="17" t="s">
        <v>0</v>
      </c>
      <c r="E27" s="17" t="s">
        <v>0</v>
      </c>
      <c r="F27" s="17" t="s">
        <v>0</v>
      </c>
      <c r="G27" s="17" t="s">
        <v>0</v>
      </c>
      <c r="H27" s="17" t="s">
        <v>0</v>
      </c>
      <c r="I27" s="17" t="s">
        <v>2</v>
      </c>
      <c r="J27" s="17" t="s">
        <v>0</v>
      </c>
      <c r="K27" s="17" t="s">
        <v>2</v>
      </c>
      <c r="L27" s="17" t="s">
        <v>0</v>
      </c>
      <c r="M27" s="17" t="s">
        <v>0</v>
      </c>
      <c r="N27" s="17" t="s">
        <v>0</v>
      </c>
      <c r="O27" s="17" t="s">
        <v>0</v>
      </c>
      <c r="P27" s="17" t="s">
        <v>0</v>
      </c>
      <c r="Q27" s="17" t="s">
        <v>0</v>
      </c>
      <c r="R27" s="17" t="s">
        <v>2</v>
      </c>
      <c r="S27" s="17">
        <f t="shared" si="0"/>
        <v>3</v>
      </c>
      <c r="T27" s="17">
        <f t="shared" si="1"/>
        <v>0</v>
      </c>
      <c r="U27" s="17">
        <f t="shared" si="2"/>
        <v>13</v>
      </c>
      <c r="W27" s="17" t="s">
        <v>46</v>
      </c>
    </row>
    <row r="28" spans="1:23" s="17" customFormat="1" x14ac:dyDescent="0.25">
      <c r="A28" s="17" t="s">
        <v>47</v>
      </c>
      <c r="B28" s="17" t="s">
        <v>48</v>
      </c>
      <c r="C28" s="17" t="s">
        <v>2</v>
      </c>
      <c r="D28" s="17" t="s">
        <v>2</v>
      </c>
      <c r="E28" s="17" t="s">
        <v>1</v>
      </c>
      <c r="F28" s="17" t="s">
        <v>2</v>
      </c>
      <c r="G28" s="17" t="s">
        <v>1</v>
      </c>
      <c r="H28" s="17" t="s">
        <v>1</v>
      </c>
      <c r="I28" s="17" t="s">
        <v>1</v>
      </c>
      <c r="J28" s="17" t="s">
        <v>1</v>
      </c>
      <c r="K28" s="17" t="s">
        <v>2</v>
      </c>
      <c r="L28" s="17" t="s">
        <v>2</v>
      </c>
      <c r="M28" s="17" t="s">
        <v>2</v>
      </c>
      <c r="N28" s="17" t="s">
        <v>1</v>
      </c>
      <c r="O28" s="17" t="s">
        <v>1</v>
      </c>
      <c r="P28" s="17" t="s">
        <v>2</v>
      </c>
      <c r="Q28" s="17" t="s">
        <v>2</v>
      </c>
      <c r="R28" s="17" t="s">
        <v>2</v>
      </c>
      <c r="S28" s="17">
        <f t="shared" si="0"/>
        <v>9</v>
      </c>
      <c r="T28" s="17">
        <f t="shared" si="1"/>
        <v>7</v>
      </c>
      <c r="U28" s="17">
        <f t="shared" si="2"/>
        <v>0</v>
      </c>
      <c r="W28" s="17" t="s">
        <v>48</v>
      </c>
    </row>
    <row r="29" spans="1:23" s="17" customFormat="1" x14ac:dyDescent="0.25">
      <c r="A29" s="17" t="s">
        <v>49</v>
      </c>
      <c r="B29" s="17" t="s">
        <v>50</v>
      </c>
      <c r="C29" s="17" t="s">
        <v>1</v>
      </c>
      <c r="D29" s="17" t="s">
        <v>0</v>
      </c>
      <c r="E29" s="17" t="s">
        <v>0</v>
      </c>
      <c r="F29" s="17" t="s">
        <v>2</v>
      </c>
      <c r="G29" s="17" t="s">
        <v>2</v>
      </c>
      <c r="H29" s="17" t="s">
        <v>2</v>
      </c>
      <c r="I29" s="17" t="s">
        <v>0</v>
      </c>
      <c r="J29" s="17" t="s">
        <v>2</v>
      </c>
      <c r="K29" s="17" t="s">
        <v>2</v>
      </c>
      <c r="L29" s="17" t="s">
        <v>2</v>
      </c>
      <c r="M29" s="17" t="s">
        <v>2</v>
      </c>
      <c r="N29" s="17" t="s">
        <v>1</v>
      </c>
      <c r="O29" s="17" t="s">
        <v>1</v>
      </c>
      <c r="P29" s="17" t="s">
        <v>2</v>
      </c>
      <c r="Q29" s="17" t="s">
        <v>2</v>
      </c>
      <c r="R29" s="17" t="s">
        <v>2</v>
      </c>
      <c r="S29" s="17">
        <f t="shared" si="0"/>
        <v>10</v>
      </c>
      <c r="T29" s="17">
        <f t="shared" si="1"/>
        <v>3</v>
      </c>
      <c r="U29" s="17">
        <f t="shared" si="2"/>
        <v>3</v>
      </c>
      <c r="W29" s="17" t="s">
        <v>50</v>
      </c>
    </row>
    <row r="30" spans="1:23" s="17" customFormat="1" x14ac:dyDescent="0.25">
      <c r="A30" s="17" t="s">
        <v>51</v>
      </c>
      <c r="B30" s="17" t="s">
        <v>52</v>
      </c>
      <c r="C30" s="17" t="s">
        <v>2</v>
      </c>
      <c r="D30" s="17" t="s">
        <v>0</v>
      </c>
      <c r="E30" s="17" t="s">
        <v>0</v>
      </c>
      <c r="F30" s="17" t="s">
        <v>2</v>
      </c>
      <c r="G30" s="17" t="s">
        <v>2</v>
      </c>
      <c r="H30" s="17" t="s">
        <v>0</v>
      </c>
      <c r="I30" s="17" t="s">
        <v>0</v>
      </c>
      <c r="J30" s="17" t="s">
        <v>0</v>
      </c>
      <c r="K30" s="17" t="s">
        <v>0</v>
      </c>
      <c r="L30" s="17" t="s">
        <v>2</v>
      </c>
      <c r="M30" s="17" t="s">
        <v>2</v>
      </c>
      <c r="N30" s="17" t="s">
        <v>0</v>
      </c>
      <c r="O30" s="17" t="s">
        <v>2</v>
      </c>
      <c r="P30" s="17" t="s">
        <v>2</v>
      </c>
      <c r="Q30" s="17" t="s">
        <v>2</v>
      </c>
      <c r="R30" s="17" t="s">
        <v>0</v>
      </c>
      <c r="S30" s="17">
        <f t="shared" si="0"/>
        <v>8</v>
      </c>
      <c r="T30" s="17">
        <f t="shared" si="1"/>
        <v>0</v>
      </c>
      <c r="U30" s="17">
        <f t="shared" si="2"/>
        <v>8</v>
      </c>
      <c r="W30" s="17" t="s">
        <v>52</v>
      </c>
    </row>
    <row r="31" spans="1:23" s="17" customFormat="1" x14ac:dyDescent="0.25">
      <c r="A31" s="17" t="s">
        <v>53</v>
      </c>
      <c r="B31" s="17" t="s">
        <v>54</v>
      </c>
      <c r="C31" s="17" t="s">
        <v>1</v>
      </c>
      <c r="D31" s="17" t="s">
        <v>1</v>
      </c>
      <c r="E31" s="17" t="s">
        <v>1</v>
      </c>
      <c r="F31" s="17" t="s">
        <v>1</v>
      </c>
      <c r="G31" s="17" t="s">
        <v>1</v>
      </c>
      <c r="H31" s="17" t="s">
        <v>1</v>
      </c>
      <c r="I31" s="17" t="s">
        <v>1</v>
      </c>
      <c r="J31" s="17" t="s">
        <v>1</v>
      </c>
      <c r="K31" s="17" t="s">
        <v>2</v>
      </c>
      <c r="L31" s="17" t="s">
        <v>1</v>
      </c>
      <c r="M31" s="17" t="s">
        <v>1</v>
      </c>
      <c r="N31" s="17" t="s">
        <v>1</v>
      </c>
      <c r="O31" s="17" t="s">
        <v>1</v>
      </c>
      <c r="P31" s="17" t="s">
        <v>1</v>
      </c>
      <c r="Q31" s="17" t="s">
        <v>2</v>
      </c>
      <c r="R31" s="17" t="s">
        <v>1</v>
      </c>
      <c r="S31" s="17">
        <f t="shared" si="0"/>
        <v>2</v>
      </c>
      <c r="T31" s="17">
        <f t="shared" si="1"/>
        <v>14</v>
      </c>
      <c r="U31" s="17">
        <f t="shared" si="2"/>
        <v>0</v>
      </c>
      <c r="W31" s="17" t="s">
        <v>54</v>
      </c>
    </row>
    <row r="32" spans="1:23" s="17" customFormat="1" x14ac:dyDescent="0.25">
      <c r="A32" s="17" t="s">
        <v>55</v>
      </c>
      <c r="B32" s="17" t="s">
        <v>56</v>
      </c>
      <c r="C32" s="17" t="s">
        <v>2</v>
      </c>
      <c r="D32" s="17" t="s">
        <v>0</v>
      </c>
      <c r="E32" s="17" t="s">
        <v>0</v>
      </c>
      <c r="F32" s="17" t="s">
        <v>0</v>
      </c>
      <c r="G32" s="17" t="s">
        <v>0</v>
      </c>
      <c r="H32" s="17" t="s">
        <v>0</v>
      </c>
      <c r="I32" s="17" t="s">
        <v>2</v>
      </c>
      <c r="J32" s="17" t="s">
        <v>0</v>
      </c>
      <c r="K32" s="17" t="s">
        <v>2</v>
      </c>
      <c r="L32" s="17" t="s">
        <v>0</v>
      </c>
      <c r="M32" s="17" t="s">
        <v>2</v>
      </c>
      <c r="N32" s="17" t="s">
        <v>0</v>
      </c>
      <c r="O32" s="17" t="s">
        <v>2</v>
      </c>
      <c r="P32" s="17" t="s">
        <v>0</v>
      </c>
      <c r="Q32" s="17" t="s">
        <v>2</v>
      </c>
      <c r="R32" s="17" t="s">
        <v>0</v>
      </c>
      <c r="S32" s="17">
        <f t="shared" si="0"/>
        <v>6</v>
      </c>
      <c r="T32" s="17">
        <f t="shared" si="1"/>
        <v>0</v>
      </c>
      <c r="U32" s="17">
        <f t="shared" si="2"/>
        <v>10</v>
      </c>
      <c r="W32" s="17" t="s">
        <v>56</v>
      </c>
    </row>
    <row r="33" spans="1:23" s="17" customFormat="1" x14ac:dyDescent="0.25">
      <c r="A33" s="17" t="s">
        <v>57</v>
      </c>
      <c r="B33" s="17" t="s">
        <v>58</v>
      </c>
      <c r="C33" s="17" t="s">
        <v>2</v>
      </c>
      <c r="D33" s="17" t="s">
        <v>1</v>
      </c>
      <c r="E33" s="17" t="s">
        <v>1</v>
      </c>
      <c r="F33" s="17" t="s">
        <v>2</v>
      </c>
      <c r="G33" s="17" t="s">
        <v>1</v>
      </c>
      <c r="H33" s="17" t="s">
        <v>2</v>
      </c>
      <c r="I33" s="17" t="s">
        <v>2</v>
      </c>
      <c r="J33" s="17" t="s">
        <v>1</v>
      </c>
      <c r="K33" s="17" t="s">
        <v>1</v>
      </c>
      <c r="L33" s="17" t="s">
        <v>2</v>
      </c>
      <c r="M33" s="17" t="s">
        <v>2</v>
      </c>
      <c r="N33" s="17" t="s">
        <v>1</v>
      </c>
      <c r="O33" s="17" t="s">
        <v>2</v>
      </c>
      <c r="P33" s="17" t="s">
        <v>1</v>
      </c>
      <c r="Q33" s="17" t="s">
        <v>2</v>
      </c>
      <c r="R33" s="17" t="s">
        <v>2</v>
      </c>
      <c r="S33" s="17">
        <f t="shared" si="0"/>
        <v>9</v>
      </c>
      <c r="T33" s="17">
        <f t="shared" si="1"/>
        <v>7</v>
      </c>
      <c r="U33" s="17">
        <f t="shared" si="2"/>
        <v>0</v>
      </c>
      <c r="W33" s="17" t="s">
        <v>58</v>
      </c>
    </row>
    <row r="34" spans="1:23" s="17" customFormat="1" x14ac:dyDescent="0.25">
      <c r="A34" s="17" t="s">
        <v>59</v>
      </c>
      <c r="B34" s="17" t="s">
        <v>60</v>
      </c>
      <c r="C34" s="17" t="s">
        <v>2</v>
      </c>
      <c r="D34" s="17" t="s">
        <v>0</v>
      </c>
      <c r="E34" s="17" t="s">
        <v>2</v>
      </c>
      <c r="F34" s="17" t="s">
        <v>0</v>
      </c>
      <c r="G34" s="17" t="s">
        <v>0</v>
      </c>
      <c r="H34" s="17" t="s">
        <v>0</v>
      </c>
      <c r="I34" s="17" t="s">
        <v>0</v>
      </c>
      <c r="J34" s="17" t="s">
        <v>2</v>
      </c>
      <c r="K34" s="17" t="s">
        <v>0</v>
      </c>
      <c r="L34" s="17" t="s">
        <v>2</v>
      </c>
      <c r="M34" s="17" t="s">
        <v>2</v>
      </c>
      <c r="N34" s="17" t="s">
        <v>0</v>
      </c>
      <c r="O34" s="17" t="s">
        <v>0</v>
      </c>
      <c r="P34" s="17" t="s">
        <v>0</v>
      </c>
      <c r="Q34" s="17" t="s">
        <v>2</v>
      </c>
      <c r="R34" s="17" t="s">
        <v>0</v>
      </c>
      <c r="S34" s="17">
        <f t="shared" si="0"/>
        <v>6</v>
      </c>
      <c r="T34" s="17">
        <f t="shared" si="1"/>
        <v>0</v>
      </c>
      <c r="U34" s="17">
        <f t="shared" si="2"/>
        <v>10</v>
      </c>
      <c r="W34" s="17" t="s">
        <v>60</v>
      </c>
    </row>
    <row r="35" spans="1:23" s="17" customFormat="1" x14ac:dyDescent="0.25">
      <c r="A35" s="17" t="s">
        <v>61</v>
      </c>
      <c r="B35" s="17" t="s">
        <v>62</v>
      </c>
      <c r="C35" s="17" t="s">
        <v>0</v>
      </c>
      <c r="D35" s="17" t="s">
        <v>0</v>
      </c>
      <c r="E35" s="17" t="s">
        <v>0</v>
      </c>
      <c r="F35" s="17" t="s">
        <v>1</v>
      </c>
      <c r="G35" s="17" t="s">
        <v>1</v>
      </c>
      <c r="H35" s="17" t="s">
        <v>0</v>
      </c>
      <c r="I35" s="17" t="s">
        <v>2</v>
      </c>
      <c r="J35" s="17" t="s">
        <v>0</v>
      </c>
      <c r="K35" s="17" t="s">
        <v>0</v>
      </c>
      <c r="L35" s="17" t="s">
        <v>2</v>
      </c>
      <c r="M35" s="17" t="s">
        <v>2</v>
      </c>
      <c r="N35" s="17" t="s">
        <v>0</v>
      </c>
      <c r="O35" s="17" t="s">
        <v>0</v>
      </c>
      <c r="P35" s="17" t="s">
        <v>0</v>
      </c>
      <c r="Q35" s="17" t="s">
        <v>1</v>
      </c>
      <c r="R35" s="17" t="s">
        <v>0</v>
      </c>
      <c r="S35" s="17">
        <f t="shared" si="0"/>
        <v>3</v>
      </c>
      <c r="T35" s="17">
        <f t="shared" si="1"/>
        <v>3</v>
      </c>
      <c r="U35" s="17">
        <f t="shared" si="2"/>
        <v>10</v>
      </c>
      <c r="W35" s="17" t="s">
        <v>62</v>
      </c>
    </row>
    <row r="36" spans="1:23" s="17" customFormat="1" x14ac:dyDescent="0.25">
      <c r="A36" s="17" t="s">
        <v>63</v>
      </c>
      <c r="B36" s="17" t="s">
        <v>64</v>
      </c>
      <c r="C36" s="17" t="s">
        <v>2</v>
      </c>
      <c r="D36" s="17" t="s">
        <v>0</v>
      </c>
      <c r="E36" s="17" t="s">
        <v>0</v>
      </c>
      <c r="F36" s="17" t="s">
        <v>0</v>
      </c>
      <c r="G36" s="17" t="s">
        <v>0</v>
      </c>
      <c r="H36" s="17" t="s">
        <v>2</v>
      </c>
      <c r="I36" s="17" t="s">
        <v>0</v>
      </c>
      <c r="J36" s="17" t="s">
        <v>0</v>
      </c>
      <c r="K36" s="17" t="s">
        <v>2</v>
      </c>
      <c r="L36" s="17" t="s">
        <v>0</v>
      </c>
      <c r="M36" s="17" t="s">
        <v>0</v>
      </c>
      <c r="N36" s="17" t="s">
        <v>0</v>
      </c>
      <c r="O36" s="17" t="s">
        <v>2</v>
      </c>
      <c r="P36" s="17" t="s">
        <v>0</v>
      </c>
      <c r="Q36" s="17" t="s">
        <v>2</v>
      </c>
      <c r="R36" s="17" t="s">
        <v>0</v>
      </c>
      <c r="S36" s="17">
        <f t="shared" si="0"/>
        <v>5</v>
      </c>
      <c r="T36" s="17">
        <f t="shared" si="1"/>
        <v>0</v>
      </c>
      <c r="U36" s="17">
        <f t="shared" si="2"/>
        <v>11</v>
      </c>
      <c r="W36" s="17" t="s">
        <v>64</v>
      </c>
    </row>
    <row r="37" spans="1:23" s="17" customFormat="1" x14ac:dyDescent="0.25">
      <c r="A37" s="17" t="s">
        <v>65</v>
      </c>
      <c r="B37" s="17" t="s">
        <v>66</v>
      </c>
      <c r="C37" s="17" t="s">
        <v>0</v>
      </c>
      <c r="D37" s="17" t="s">
        <v>2</v>
      </c>
      <c r="E37" s="17" t="s">
        <v>0</v>
      </c>
      <c r="F37" s="17" t="s">
        <v>0</v>
      </c>
      <c r="G37" s="17" t="s">
        <v>0</v>
      </c>
      <c r="H37" s="17" t="s">
        <v>2</v>
      </c>
      <c r="I37" s="17" t="s">
        <v>2</v>
      </c>
      <c r="J37" s="17" t="s">
        <v>2</v>
      </c>
      <c r="K37" s="17" t="s">
        <v>0</v>
      </c>
      <c r="L37" s="17" t="s">
        <v>2</v>
      </c>
      <c r="M37" s="17" t="s">
        <v>2</v>
      </c>
      <c r="N37" s="17" t="s">
        <v>1</v>
      </c>
      <c r="O37" s="17" t="s">
        <v>0</v>
      </c>
      <c r="P37" s="17" t="s">
        <v>0</v>
      </c>
      <c r="Q37" s="17" t="s">
        <v>0</v>
      </c>
      <c r="R37" s="17" t="s">
        <v>0</v>
      </c>
      <c r="S37" s="17">
        <f t="shared" si="0"/>
        <v>6</v>
      </c>
      <c r="T37" s="17">
        <f t="shared" si="1"/>
        <v>1</v>
      </c>
      <c r="U37" s="17">
        <f t="shared" si="2"/>
        <v>9</v>
      </c>
      <c r="W37" s="17" t="s">
        <v>66</v>
      </c>
    </row>
    <row r="38" spans="1:23" s="17" customFormat="1" x14ac:dyDescent="0.25">
      <c r="A38" s="17" t="s">
        <v>67</v>
      </c>
      <c r="B38" s="17" t="s">
        <v>68</v>
      </c>
      <c r="C38" s="17" t="s">
        <v>0</v>
      </c>
      <c r="D38" s="17" t="s">
        <v>0</v>
      </c>
      <c r="E38" s="17" t="s">
        <v>0</v>
      </c>
      <c r="F38" s="17" t="s">
        <v>0</v>
      </c>
      <c r="G38" s="17" t="s">
        <v>0</v>
      </c>
      <c r="H38" s="17" t="s">
        <v>2</v>
      </c>
      <c r="I38" s="17" t="s">
        <v>0</v>
      </c>
      <c r="J38" s="17" t="s">
        <v>0</v>
      </c>
      <c r="K38" s="17" t="s">
        <v>2</v>
      </c>
      <c r="L38" s="17" t="s">
        <v>0</v>
      </c>
      <c r="M38" s="17" t="s">
        <v>0</v>
      </c>
      <c r="N38" s="17" t="s">
        <v>0</v>
      </c>
      <c r="O38" s="17" t="s">
        <v>0</v>
      </c>
      <c r="P38" s="17" t="s">
        <v>0</v>
      </c>
      <c r="Q38" s="17" t="s">
        <v>0</v>
      </c>
      <c r="R38" s="17" t="s">
        <v>0</v>
      </c>
      <c r="S38" s="17">
        <f t="shared" si="0"/>
        <v>2</v>
      </c>
      <c r="T38" s="17">
        <f t="shared" si="1"/>
        <v>0</v>
      </c>
      <c r="U38" s="17">
        <f t="shared" si="2"/>
        <v>14</v>
      </c>
      <c r="W38" s="17" t="s">
        <v>68</v>
      </c>
    </row>
    <row r="39" spans="1:23" s="17" customFormat="1" x14ac:dyDescent="0.25">
      <c r="A39" s="17" t="s">
        <v>69</v>
      </c>
      <c r="B39" s="17" t="s">
        <v>70</v>
      </c>
      <c r="C39" s="17" t="s">
        <v>0</v>
      </c>
      <c r="D39" s="17" t="s">
        <v>0</v>
      </c>
      <c r="E39" s="17" t="s">
        <v>0</v>
      </c>
      <c r="F39" s="17" t="s">
        <v>0</v>
      </c>
      <c r="G39" s="17" t="s">
        <v>2</v>
      </c>
      <c r="H39" s="17" t="s">
        <v>0</v>
      </c>
      <c r="I39" s="17" t="s">
        <v>0</v>
      </c>
      <c r="J39" s="17" t="s">
        <v>2</v>
      </c>
      <c r="K39" s="17" t="s">
        <v>0</v>
      </c>
      <c r="L39" s="17" t="s">
        <v>2</v>
      </c>
      <c r="M39" s="17" t="s">
        <v>2</v>
      </c>
      <c r="N39" s="17" t="s">
        <v>0</v>
      </c>
      <c r="O39" s="17" t="s">
        <v>0</v>
      </c>
      <c r="P39" s="17" t="s">
        <v>0</v>
      </c>
      <c r="Q39" s="17" t="s">
        <v>0</v>
      </c>
      <c r="R39" s="17" t="s">
        <v>0</v>
      </c>
      <c r="S39" s="17">
        <f t="shared" si="0"/>
        <v>4</v>
      </c>
      <c r="T39" s="17">
        <f t="shared" si="1"/>
        <v>0</v>
      </c>
      <c r="U39" s="17">
        <f t="shared" si="2"/>
        <v>12</v>
      </c>
      <c r="W39" s="17" t="s">
        <v>70</v>
      </c>
    </row>
    <row r="40" spans="1:23" s="17" customFormat="1" x14ac:dyDescent="0.25">
      <c r="A40" s="17" t="s">
        <v>71</v>
      </c>
      <c r="B40" s="17" t="s">
        <v>72</v>
      </c>
      <c r="C40" s="17" t="s">
        <v>0</v>
      </c>
      <c r="D40" s="17" t="s">
        <v>0</v>
      </c>
      <c r="E40" s="17" t="s">
        <v>0</v>
      </c>
      <c r="F40" s="17" t="s">
        <v>0</v>
      </c>
      <c r="G40" s="17" t="s">
        <v>0</v>
      </c>
      <c r="H40" s="17" t="s">
        <v>2</v>
      </c>
      <c r="I40" s="17" t="s">
        <v>0</v>
      </c>
      <c r="J40" s="17" t="s">
        <v>0</v>
      </c>
      <c r="K40" s="17" t="s">
        <v>2</v>
      </c>
      <c r="L40" s="17" t="s">
        <v>0</v>
      </c>
      <c r="M40" s="17" t="s">
        <v>0</v>
      </c>
      <c r="N40" s="17" t="s">
        <v>0</v>
      </c>
      <c r="O40" s="17" t="s">
        <v>0</v>
      </c>
      <c r="P40" s="17" t="s">
        <v>0</v>
      </c>
      <c r="Q40" s="17" t="s">
        <v>0</v>
      </c>
      <c r="R40" s="17" t="s">
        <v>0</v>
      </c>
      <c r="S40" s="17">
        <f t="shared" si="0"/>
        <v>2</v>
      </c>
      <c r="T40" s="17">
        <f t="shared" si="1"/>
        <v>0</v>
      </c>
      <c r="U40" s="17">
        <f t="shared" si="2"/>
        <v>14</v>
      </c>
      <c r="W40" s="17" t="s">
        <v>72</v>
      </c>
    </row>
    <row r="41" spans="1:23" s="17" customFormat="1" x14ac:dyDescent="0.25">
      <c r="A41" s="17" t="s">
        <v>73</v>
      </c>
      <c r="B41" s="17" t="s">
        <v>74</v>
      </c>
      <c r="C41" s="17" t="s">
        <v>0</v>
      </c>
      <c r="D41" s="17" t="s">
        <v>0</v>
      </c>
      <c r="E41" s="17" t="s">
        <v>0</v>
      </c>
      <c r="F41" s="17" t="s">
        <v>0</v>
      </c>
      <c r="G41" s="17" t="s">
        <v>0</v>
      </c>
      <c r="H41" s="17" t="s">
        <v>1</v>
      </c>
      <c r="I41" s="17" t="s">
        <v>1</v>
      </c>
      <c r="J41" s="17" t="s">
        <v>0</v>
      </c>
      <c r="K41" s="17" t="s">
        <v>0</v>
      </c>
      <c r="L41" s="17" t="s">
        <v>2</v>
      </c>
      <c r="M41" s="17" t="s">
        <v>2</v>
      </c>
      <c r="N41" s="17" t="s">
        <v>0</v>
      </c>
      <c r="O41" s="17" t="s">
        <v>0</v>
      </c>
      <c r="P41" s="17" t="s">
        <v>0</v>
      </c>
      <c r="Q41" s="17" t="s">
        <v>1</v>
      </c>
      <c r="R41" s="17" t="s">
        <v>0</v>
      </c>
      <c r="S41" s="17">
        <f t="shared" si="0"/>
        <v>2</v>
      </c>
      <c r="T41" s="17">
        <f t="shared" si="1"/>
        <v>3</v>
      </c>
      <c r="U41" s="17">
        <f t="shared" si="2"/>
        <v>11</v>
      </c>
      <c r="W41" s="17" t="s">
        <v>74</v>
      </c>
    </row>
    <row r="42" spans="1:23" s="17" customFormat="1" x14ac:dyDescent="0.25">
      <c r="A42" s="17" t="s">
        <v>75</v>
      </c>
      <c r="B42" s="17" t="s">
        <v>76</v>
      </c>
      <c r="C42" s="17" t="s">
        <v>2</v>
      </c>
      <c r="D42" s="17" t="s">
        <v>0</v>
      </c>
      <c r="E42" s="17" t="s">
        <v>0</v>
      </c>
      <c r="F42" s="17" t="s">
        <v>0</v>
      </c>
      <c r="G42" s="17" t="s">
        <v>0</v>
      </c>
      <c r="H42" s="17" t="s">
        <v>0</v>
      </c>
      <c r="I42" s="17" t="s">
        <v>0</v>
      </c>
      <c r="J42" s="17" t="s">
        <v>0</v>
      </c>
      <c r="K42" s="17" t="s">
        <v>2</v>
      </c>
      <c r="L42" s="17" t="s">
        <v>0</v>
      </c>
      <c r="M42" s="17" t="s">
        <v>0</v>
      </c>
      <c r="N42" s="17" t="s">
        <v>0</v>
      </c>
      <c r="O42" s="17" t="s">
        <v>0</v>
      </c>
      <c r="P42" s="17" t="s">
        <v>0</v>
      </c>
      <c r="Q42" s="17" t="s">
        <v>0</v>
      </c>
      <c r="R42" s="17" t="s">
        <v>0</v>
      </c>
      <c r="S42" s="17">
        <f t="shared" si="0"/>
        <v>2</v>
      </c>
      <c r="T42" s="17">
        <f t="shared" si="1"/>
        <v>0</v>
      </c>
      <c r="U42" s="17">
        <f t="shared" si="2"/>
        <v>14</v>
      </c>
      <c r="W42" s="17" t="s">
        <v>76</v>
      </c>
    </row>
    <row r="43" spans="1:23" s="17" customFormat="1" x14ac:dyDescent="0.25">
      <c r="A43" s="17" t="s">
        <v>77</v>
      </c>
      <c r="B43" s="17" t="s">
        <v>78</v>
      </c>
      <c r="C43" s="17" t="s">
        <v>0</v>
      </c>
      <c r="D43" s="17" t="s">
        <v>2</v>
      </c>
      <c r="E43" s="17" t="s">
        <v>0</v>
      </c>
      <c r="F43" s="17" t="s">
        <v>0</v>
      </c>
      <c r="G43" s="17" t="s">
        <v>2</v>
      </c>
      <c r="H43" s="17" t="s">
        <v>0</v>
      </c>
      <c r="I43" s="17" t="s">
        <v>0</v>
      </c>
      <c r="J43" s="17" t="s">
        <v>0</v>
      </c>
      <c r="K43" s="17" t="s">
        <v>0</v>
      </c>
      <c r="L43" s="17" t="s">
        <v>0</v>
      </c>
      <c r="M43" s="17" t="s">
        <v>0</v>
      </c>
      <c r="N43" s="17" t="s">
        <v>0</v>
      </c>
      <c r="O43" s="17" t="s">
        <v>0</v>
      </c>
      <c r="P43" s="17" t="s">
        <v>0</v>
      </c>
      <c r="Q43" s="17" t="s">
        <v>0</v>
      </c>
      <c r="R43" s="17" t="s">
        <v>2</v>
      </c>
      <c r="S43" s="17">
        <f t="shared" si="0"/>
        <v>3</v>
      </c>
      <c r="T43" s="17">
        <f t="shared" si="1"/>
        <v>0</v>
      </c>
      <c r="U43" s="17">
        <f t="shared" si="2"/>
        <v>13</v>
      </c>
      <c r="W43" s="17" t="s">
        <v>78</v>
      </c>
    </row>
    <row r="44" spans="1:23" s="17" customFormat="1" x14ac:dyDescent="0.25">
      <c r="A44" s="17" t="s">
        <v>79</v>
      </c>
      <c r="B44" s="17" t="s">
        <v>80</v>
      </c>
      <c r="C44" s="17" t="s">
        <v>0</v>
      </c>
      <c r="D44" s="17" t="s">
        <v>0</v>
      </c>
      <c r="E44" s="17" t="s">
        <v>2</v>
      </c>
      <c r="F44" s="17" t="s">
        <v>0</v>
      </c>
      <c r="G44" s="17" t="s">
        <v>0</v>
      </c>
      <c r="H44" s="17" t="s">
        <v>2</v>
      </c>
      <c r="I44" s="17" t="s">
        <v>0</v>
      </c>
      <c r="J44" s="17" t="s">
        <v>0</v>
      </c>
      <c r="K44" s="17" t="s">
        <v>2</v>
      </c>
      <c r="L44" s="17" t="s">
        <v>0</v>
      </c>
      <c r="M44" s="17" t="s">
        <v>2</v>
      </c>
      <c r="N44" s="17" t="s">
        <v>2</v>
      </c>
      <c r="O44" s="17" t="s">
        <v>2</v>
      </c>
      <c r="P44" s="17" t="s">
        <v>0</v>
      </c>
      <c r="Q44" s="17" t="s">
        <v>0</v>
      </c>
      <c r="R44" s="17" t="s">
        <v>0</v>
      </c>
      <c r="S44" s="17">
        <f t="shared" si="0"/>
        <v>6</v>
      </c>
      <c r="T44" s="17">
        <f t="shared" si="1"/>
        <v>0</v>
      </c>
      <c r="U44" s="17">
        <f t="shared" si="2"/>
        <v>10</v>
      </c>
      <c r="W44" s="17" t="s">
        <v>80</v>
      </c>
    </row>
    <row r="45" spans="1:23" s="17" customFormat="1" x14ac:dyDescent="0.25">
      <c r="A45" s="17" t="s">
        <v>81</v>
      </c>
      <c r="B45" s="17" t="s">
        <v>82</v>
      </c>
      <c r="C45" s="17" t="s">
        <v>2</v>
      </c>
      <c r="D45" s="17" t="s">
        <v>2</v>
      </c>
      <c r="E45" s="17" t="s">
        <v>0</v>
      </c>
      <c r="F45" s="17" t="s">
        <v>2</v>
      </c>
      <c r="G45" s="17" t="s">
        <v>2</v>
      </c>
      <c r="H45" s="17" t="s">
        <v>0</v>
      </c>
      <c r="I45" s="17" t="s">
        <v>2</v>
      </c>
      <c r="J45" s="17" t="s">
        <v>2</v>
      </c>
      <c r="K45" s="17" t="s">
        <v>0</v>
      </c>
      <c r="L45" s="17" t="s">
        <v>2</v>
      </c>
      <c r="M45" s="17" t="s">
        <v>2</v>
      </c>
      <c r="N45" s="17" t="s">
        <v>0</v>
      </c>
      <c r="O45" s="17" t="s">
        <v>0</v>
      </c>
      <c r="P45" s="17" t="s">
        <v>0</v>
      </c>
      <c r="Q45" s="17" t="s">
        <v>2</v>
      </c>
      <c r="R45" s="17" t="s">
        <v>2</v>
      </c>
      <c r="S45" s="17">
        <f t="shared" si="0"/>
        <v>10</v>
      </c>
      <c r="T45" s="17">
        <f t="shared" si="1"/>
        <v>0</v>
      </c>
      <c r="U45" s="17">
        <f t="shared" si="2"/>
        <v>6</v>
      </c>
      <c r="W45" s="17" t="s">
        <v>82</v>
      </c>
    </row>
    <row r="46" spans="1:23" s="17" customFormat="1" x14ac:dyDescent="0.25">
      <c r="A46" s="17" t="s">
        <v>83</v>
      </c>
      <c r="B46" s="17" t="s">
        <v>84</v>
      </c>
      <c r="C46" s="17" t="s">
        <v>0</v>
      </c>
      <c r="D46" s="17" t="s">
        <v>0</v>
      </c>
      <c r="E46" s="17" t="s">
        <v>2</v>
      </c>
      <c r="F46" s="17" t="s">
        <v>0</v>
      </c>
      <c r="G46" s="17" t="s">
        <v>0</v>
      </c>
      <c r="H46" s="17" t="s">
        <v>0</v>
      </c>
      <c r="I46" s="17" t="s">
        <v>0</v>
      </c>
      <c r="J46" s="17" t="s">
        <v>2</v>
      </c>
      <c r="K46" s="17" t="s">
        <v>0</v>
      </c>
      <c r="L46" s="17" t="s">
        <v>0</v>
      </c>
      <c r="M46" s="17" t="s">
        <v>0</v>
      </c>
      <c r="N46" s="17" t="s">
        <v>2</v>
      </c>
      <c r="O46" s="17" t="s">
        <v>0</v>
      </c>
      <c r="P46" s="17" t="s">
        <v>0</v>
      </c>
      <c r="Q46" s="17" t="s">
        <v>0</v>
      </c>
      <c r="R46" s="17" t="s">
        <v>0</v>
      </c>
      <c r="S46" s="17">
        <f t="shared" si="0"/>
        <v>3</v>
      </c>
      <c r="T46" s="17">
        <f t="shared" si="1"/>
        <v>0</v>
      </c>
      <c r="U46" s="17">
        <f t="shared" si="2"/>
        <v>13</v>
      </c>
      <c r="W46" s="17" t="s">
        <v>84</v>
      </c>
    </row>
    <row r="47" spans="1:23" s="17" customFormat="1" x14ac:dyDescent="0.25">
      <c r="A47" s="17" t="s">
        <v>85</v>
      </c>
      <c r="B47" s="17" t="s">
        <v>86</v>
      </c>
      <c r="C47" s="17" t="s">
        <v>1</v>
      </c>
      <c r="D47" s="17" t="s">
        <v>0</v>
      </c>
      <c r="E47" s="17" t="s">
        <v>0</v>
      </c>
      <c r="F47" s="17" t="s">
        <v>0</v>
      </c>
      <c r="G47" s="17" t="s">
        <v>0</v>
      </c>
      <c r="H47" s="17" t="s">
        <v>2</v>
      </c>
      <c r="I47" s="17" t="s">
        <v>0</v>
      </c>
      <c r="J47" s="17" t="s">
        <v>0</v>
      </c>
      <c r="K47" s="17" t="s">
        <v>2</v>
      </c>
      <c r="L47" s="17" t="s">
        <v>2</v>
      </c>
      <c r="M47" s="17" t="s">
        <v>0</v>
      </c>
      <c r="N47" s="17" t="s">
        <v>1</v>
      </c>
      <c r="O47" s="17" t="s">
        <v>0</v>
      </c>
      <c r="P47" s="17" t="s">
        <v>0</v>
      </c>
      <c r="Q47" s="17" t="s">
        <v>1</v>
      </c>
      <c r="R47" s="17" t="s">
        <v>0</v>
      </c>
      <c r="S47" s="17">
        <f t="shared" si="0"/>
        <v>3</v>
      </c>
      <c r="T47" s="17">
        <f t="shared" si="1"/>
        <v>3</v>
      </c>
      <c r="U47" s="17">
        <f t="shared" si="2"/>
        <v>10</v>
      </c>
      <c r="W47" s="17" t="s">
        <v>86</v>
      </c>
    </row>
    <row r="48" spans="1:23" s="17" customFormat="1" x14ac:dyDescent="0.25">
      <c r="A48" s="17" t="s">
        <v>87</v>
      </c>
      <c r="B48" s="17" t="s">
        <v>88</v>
      </c>
      <c r="C48" s="17" t="s">
        <v>0</v>
      </c>
      <c r="D48" s="17" t="s">
        <v>0</v>
      </c>
      <c r="E48" s="17" t="s">
        <v>0</v>
      </c>
      <c r="F48" s="17" t="s">
        <v>2</v>
      </c>
      <c r="G48" s="17" t="s">
        <v>2</v>
      </c>
      <c r="H48" s="17" t="s">
        <v>2</v>
      </c>
      <c r="I48" s="17" t="s">
        <v>0</v>
      </c>
      <c r="J48" s="17" t="s">
        <v>0</v>
      </c>
      <c r="K48" s="17" t="s">
        <v>2</v>
      </c>
      <c r="L48" s="17" t="s">
        <v>2</v>
      </c>
      <c r="M48" s="17" t="s">
        <v>0</v>
      </c>
      <c r="N48" s="17" t="s">
        <v>0</v>
      </c>
      <c r="O48" s="17" t="s">
        <v>0</v>
      </c>
      <c r="P48" s="17" t="s">
        <v>2</v>
      </c>
      <c r="Q48" s="17" t="s">
        <v>2</v>
      </c>
      <c r="R48" s="17" t="s">
        <v>2</v>
      </c>
      <c r="S48" s="17">
        <f t="shared" si="0"/>
        <v>8</v>
      </c>
      <c r="T48" s="17">
        <f t="shared" si="1"/>
        <v>0</v>
      </c>
      <c r="U48" s="17">
        <f t="shared" si="2"/>
        <v>8</v>
      </c>
      <c r="W48" s="17" t="s">
        <v>88</v>
      </c>
    </row>
    <row r="49" spans="1:23" s="17" customFormat="1" x14ac:dyDescent="0.25">
      <c r="A49" s="17" t="s">
        <v>89</v>
      </c>
      <c r="B49" s="17" t="s">
        <v>90</v>
      </c>
      <c r="C49" s="17" t="s">
        <v>2</v>
      </c>
      <c r="D49" s="17" t="s">
        <v>2</v>
      </c>
      <c r="E49" s="17" t="s">
        <v>1</v>
      </c>
      <c r="F49" s="17" t="s">
        <v>2</v>
      </c>
      <c r="G49" s="17" t="s">
        <v>1</v>
      </c>
      <c r="H49" s="17" t="s">
        <v>2</v>
      </c>
      <c r="I49" s="17" t="s">
        <v>1</v>
      </c>
      <c r="J49" s="17" t="s">
        <v>1</v>
      </c>
      <c r="K49" s="17" t="s">
        <v>2</v>
      </c>
      <c r="L49" s="17" t="s">
        <v>2</v>
      </c>
      <c r="M49" s="17" t="s">
        <v>2</v>
      </c>
      <c r="N49" s="17" t="s">
        <v>1</v>
      </c>
      <c r="O49" s="17" t="s">
        <v>1</v>
      </c>
      <c r="P49" s="17" t="s">
        <v>2</v>
      </c>
      <c r="Q49" s="17" t="s">
        <v>2</v>
      </c>
      <c r="R49" s="17" t="s">
        <v>1</v>
      </c>
      <c r="S49" s="17">
        <f t="shared" si="0"/>
        <v>9</v>
      </c>
      <c r="T49" s="17">
        <f t="shared" si="1"/>
        <v>7</v>
      </c>
      <c r="U49" s="17">
        <f t="shared" si="2"/>
        <v>0</v>
      </c>
      <c r="W49" s="17" t="s">
        <v>90</v>
      </c>
    </row>
    <row r="50" spans="1:23" s="17" customFormat="1" x14ac:dyDescent="0.25">
      <c r="A50" s="17" t="s">
        <v>91</v>
      </c>
      <c r="B50" s="17" t="s">
        <v>92</v>
      </c>
      <c r="C50" s="17" t="s">
        <v>2</v>
      </c>
      <c r="D50" s="17" t="s">
        <v>2</v>
      </c>
      <c r="E50" s="17" t="s">
        <v>0</v>
      </c>
      <c r="F50" s="17" t="s">
        <v>0</v>
      </c>
      <c r="G50" s="17" t="s">
        <v>1</v>
      </c>
      <c r="H50" s="17" t="s">
        <v>1</v>
      </c>
      <c r="I50" s="17" t="s">
        <v>2</v>
      </c>
      <c r="J50" s="17" t="s">
        <v>2</v>
      </c>
      <c r="K50" s="17" t="s">
        <v>2</v>
      </c>
      <c r="L50" s="17" t="s">
        <v>2</v>
      </c>
      <c r="M50" s="17" t="s">
        <v>1</v>
      </c>
      <c r="N50" s="17" t="s">
        <v>0</v>
      </c>
      <c r="O50" s="17" t="s">
        <v>0</v>
      </c>
      <c r="P50" s="17" t="s">
        <v>2</v>
      </c>
      <c r="Q50" s="17" t="s">
        <v>2</v>
      </c>
      <c r="R50" s="17" t="s">
        <v>1</v>
      </c>
      <c r="S50" s="17">
        <f t="shared" si="0"/>
        <v>8</v>
      </c>
      <c r="T50" s="17">
        <f t="shared" si="1"/>
        <v>4</v>
      </c>
      <c r="U50" s="17">
        <f t="shared" si="2"/>
        <v>4</v>
      </c>
      <c r="W50" s="17" t="s">
        <v>92</v>
      </c>
    </row>
    <row r="51" spans="1:23" s="17" customFormat="1" x14ac:dyDescent="0.25">
      <c r="A51" s="17" t="s">
        <v>93</v>
      </c>
      <c r="B51" s="17" t="s">
        <v>94</v>
      </c>
      <c r="C51" s="17" t="s">
        <v>2</v>
      </c>
      <c r="D51" s="17" t="s">
        <v>0</v>
      </c>
      <c r="E51" s="17" t="s">
        <v>0</v>
      </c>
      <c r="F51" s="17" t="s">
        <v>0</v>
      </c>
      <c r="G51" s="17" t="s">
        <v>0</v>
      </c>
      <c r="H51" s="17" t="s">
        <v>2</v>
      </c>
      <c r="I51" s="17" t="s">
        <v>0</v>
      </c>
      <c r="J51" s="17" t="s">
        <v>0</v>
      </c>
      <c r="K51" s="17" t="s">
        <v>2</v>
      </c>
      <c r="L51" s="17" t="s">
        <v>0</v>
      </c>
      <c r="M51" s="17" t="s">
        <v>2</v>
      </c>
      <c r="N51" s="17" t="s">
        <v>0</v>
      </c>
      <c r="O51" s="17" t="s">
        <v>0</v>
      </c>
      <c r="P51" s="17" t="s">
        <v>0</v>
      </c>
      <c r="Q51" s="17" t="s">
        <v>0</v>
      </c>
      <c r="R51" s="17" t="s">
        <v>0</v>
      </c>
      <c r="S51" s="17">
        <f t="shared" si="0"/>
        <v>4</v>
      </c>
      <c r="T51" s="17">
        <f t="shared" si="1"/>
        <v>0</v>
      </c>
      <c r="U51" s="17">
        <f t="shared" si="2"/>
        <v>12</v>
      </c>
      <c r="W51" s="17" t="s">
        <v>94</v>
      </c>
    </row>
    <row r="52" spans="1:23" s="17" customFormat="1" x14ac:dyDescent="0.25">
      <c r="A52" s="17" t="s">
        <v>95</v>
      </c>
      <c r="B52" s="17" t="s">
        <v>96</v>
      </c>
      <c r="C52" s="17" t="s">
        <v>1</v>
      </c>
      <c r="D52" s="17" t="s">
        <v>2</v>
      </c>
      <c r="E52" s="17" t="s">
        <v>1</v>
      </c>
      <c r="F52" s="17" t="s">
        <v>1</v>
      </c>
      <c r="G52" s="17" t="s">
        <v>2</v>
      </c>
      <c r="H52" s="17" t="s">
        <v>1</v>
      </c>
      <c r="I52" s="17" t="s">
        <v>2</v>
      </c>
      <c r="J52" s="17" t="s">
        <v>1</v>
      </c>
      <c r="K52" s="17" t="s">
        <v>2</v>
      </c>
      <c r="L52" s="17" t="s">
        <v>2</v>
      </c>
      <c r="M52" s="17" t="s">
        <v>2</v>
      </c>
      <c r="N52" s="17" t="s">
        <v>1</v>
      </c>
      <c r="O52" s="17" t="s">
        <v>1</v>
      </c>
      <c r="P52" s="17" t="s">
        <v>1</v>
      </c>
      <c r="Q52" s="17" t="s">
        <v>2</v>
      </c>
      <c r="R52" s="17" t="s">
        <v>2</v>
      </c>
      <c r="S52" s="17">
        <f t="shared" si="0"/>
        <v>8</v>
      </c>
      <c r="T52" s="17">
        <f t="shared" si="1"/>
        <v>8</v>
      </c>
      <c r="U52" s="17">
        <f t="shared" si="2"/>
        <v>0</v>
      </c>
      <c r="W52" s="17" t="s">
        <v>96</v>
      </c>
    </row>
    <row r="53" spans="1:23" s="17" customFormat="1" x14ac:dyDescent="0.25">
      <c r="A53" s="17" t="s">
        <v>97</v>
      </c>
      <c r="B53" s="17" t="s">
        <v>98</v>
      </c>
      <c r="C53" s="17" t="s">
        <v>2</v>
      </c>
      <c r="D53" s="17" t="s">
        <v>0</v>
      </c>
      <c r="E53" s="17" t="s">
        <v>0</v>
      </c>
      <c r="F53" s="17" t="s">
        <v>0</v>
      </c>
      <c r="G53" s="17" t="s">
        <v>0</v>
      </c>
      <c r="H53" s="17" t="s">
        <v>0</v>
      </c>
      <c r="I53" s="17" t="s">
        <v>0</v>
      </c>
      <c r="J53" s="17" t="s">
        <v>0</v>
      </c>
      <c r="K53" s="17" t="s">
        <v>2</v>
      </c>
      <c r="L53" s="17" t="s">
        <v>0</v>
      </c>
      <c r="M53" s="17" t="s">
        <v>0</v>
      </c>
      <c r="N53" s="17" t="s">
        <v>0</v>
      </c>
      <c r="O53" s="17" t="s">
        <v>0</v>
      </c>
      <c r="P53" s="17" t="s">
        <v>0</v>
      </c>
      <c r="Q53" s="17" t="s">
        <v>0</v>
      </c>
      <c r="R53" s="17" t="s">
        <v>0</v>
      </c>
      <c r="S53" s="17">
        <f t="shared" si="0"/>
        <v>2</v>
      </c>
      <c r="T53" s="17">
        <f t="shared" si="1"/>
        <v>0</v>
      </c>
      <c r="U53" s="17">
        <f t="shared" si="2"/>
        <v>14</v>
      </c>
      <c r="W53" s="17" t="s">
        <v>98</v>
      </c>
    </row>
    <row r="54" spans="1:23" s="17" customFormat="1" x14ac:dyDescent="0.25">
      <c r="A54" s="17" t="s">
        <v>117</v>
      </c>
      <c r="B54" s="17" t="s">
        <v>118</v>
      </c>
      <c r="C54" s="17" t="s">
        <v>2</v>
      </c>
      <c r="D54" s="17" t="s">
        <v>2</v>
      </c>
      <c r="E54" s="17" t="s">
        <v>0</v>
      </c>
      <c r="F54" s="17" t="s">
        <v>2</v>
      </c>
      <c r="G54" s="17" t="s">
        <v>2</v>
      </c>
      <c r="H54" s="17" t="s">
        <v>2</v>
      </c>
      <c r="I54" s="17" t="s">
        <v>0</v>
      </c>
      <c r="J54" s="17" t="s">
        <v>2</v>
      </c>
      <c r="K54" s="17" t="s">
        <v>2</v>
      </c>
      <c r="L54" s="17" t="s">
        <v>2</v>
      </c>
      <c r="M54" s="17" t="s">
        <v>2</v>
      </c>
      <c r="N54" s="17" t="s">
        <v>0</v>
      </c>
      <c r="O54" s="17" t="s">
        <v>2</v>
      </c>
      <c r="P54" s="17" t="s">
        <v>2</v>
      </c>
      <c r="Q54" s="17" t="s">
        <v>2</v>
      </c>
      <c r="R54" s="17" t="s">
        <v>2</v>
      </c>
      <c r="S54" s="17">
        <f t="shared" si="0"/>
        <v>13</v>
      </c>
      <c r="T54" s="17">
        <f t="shared" si="1"/>
        <v>0</v>
      </c>
      <c r="U54" s="17">
        <f t="shared" si="2"/>
        <v>3</v>
      </c>
      <c r="W54" s="17" t="s">
        <v>118</v>
      </c>
    </row>
    <row r="55" spans="1:23" x14ac:dyDescent="0.25">
      <c r="C55" s="7" t="str">
        <f>C4</f>
        <v>Jack Arendt</v>
      </c>
      <c r="D55" s="7" t="str">
        <f t="shared" ref="D55:R55" si="6">D4</f>
        <v>Gordy Baker</v>
      </c>
      <c r="E55" s="7" t="str">
        <f t="shared" si="6"/>
        <v>Brian Nelson</v>
      </c>
      <c r="F55" s="7" t="str">
        <f t="shared" si="6"/>
        <v>Dave Donahue</v>
      </c>
      <c r="G55" s="7" t="str">
        <f t="shared" si="6"/>
        <v>Russ Hutchinson</v>
      </c>
      <c r="H55" s="7" t="str">
        <f t="shared" si="6"/>
        <v>Greg Mara</v>
      </c>
      <c r="I55" s="7" t="str">
        <f t="shared" si="6"/>
        <v>Scott O'Brien</v>
      </c>
      <c r="J55" s="7" t="str">
        <f t="shared" si="6"/>
        <v>Jim O'Hern</v>
      </c>
      <c r="K55" s="7" t="str">
        <f t="shared" si="6"/>
        <v>John "JR" Ogden</v>
      </c>
      <c r="L55" s="7" t="str">
        <f t="shared" si="6"/>
        <v>Matt Palazzo</v>
      </c>
      <c r="M55" s="7" t="str">
        <f t="shared" si="6"/>
        <v>Scott Smith</v>
      </c>
      <c r="N55" s="7" t="str">
        <f t="shared" si="6"/>
        <v>Zack Smith</v>
      </c>
      <c r="O55" s="7" t="str">
        <f t="shared" si="6"/>
        <v>Bob Splinter II</v>
      </c>
      <c r="P55" s="7" t="str">
        <f t="shared" si="6"/>
        <v>Larry Svoboda</v>
      </c>
      <c r="Q55" s="7" t="str">
        <f t="shared" si="6"/>
        <v>Brad Wedeking</v>
      </c>
      <c r="R55" s="7" t="str">
        <f t="shared" si="6"/>
        <v>Charles Stufflebeem Sr.</v>
      </c>
      <c r="S55" s="15" t="s">
        <v>2</v>
      </c>
      <c r="T55" s="14" t="s">
        <v>1</v>
      </c>
      <c r="U55" s="14" t="s">
        <v>0</v>
      </c>
    </row>
    <row r="56" spans="1:23" x14ac:dyDescent="0.25">
      <c r="B56" s="3" t="s">
        <v>128</v>
      </c>
      <c r="C56">
        <f t="shared" ref="C56:R56" si="7">COUNTIF(C5:C54, "Yes")</f>
        <v>22</v>
      </c>
      <c r="D56">
        <f t="shared" si="7"/>
        <v>19</v>
      </c>
      <c r="E56">
        <f t="shared" si="7"/>
        <v>6</v>
      </c>
      <c r="F56">
        <f t="shared" si="7"/>
        <v>18</v>
      </c>
      <c r="G56">
        <f t="shared" si="7"/>
        <v>17</v>
      </c>
      <c r="H56">
        <f t="shared" si="7"/>
        <v>20</v>
      </c>
      <c r="I56">
        <f t="shared" si="7"/>
        <v>13</v>
      </c>
      <c r="J56">
        <f t="shared" si="7"/>
        <v>13</v>
      </c>
      <c r="K56">
        <f t="shared" si="7"/>
        <v>28</v>
      </c>
      <c r="L56">
        <f t="shared" si="7"/>
        <v>31</v>
      </c>
      <c r="M56">
        <f t="shared" si="7"/>
        <v>30</v>
      </c>
      <c r="N56">
        <f t="shared" si="7"/>
        <v>3</v>
      </c>
      <c r="O56">
        <f t="shared" si="7"/>
        <v>12</v>
      </c>
      <c r="P56">
        <f t="shared" si="7"/>
        <v>16</v>
      </c>
      <c r="Q56">
        <f t="shared" si="7"/>
        <v>27</v>
      </c>
      <c r="R56">
        <f t="shared" si="7"/>
        <v>16</v>
      </c>
    </row>
    <row r="57" spans="1:23" x14ac:dyDescent="0.25">
      <c r="B57" s="3" t="s">
        <v>129</v>
      </c>
      <c r="C57">
        <f t="shared" ref="C57:R57" si="8">COUNTIF(C6:C55, "No")</f>
        <v>9</v>
      </c>
      <c r="D57">
        <f t="shared" si="8"/>
        <v>3</v>
      </c>
      <c r="E57">
        <f t="shared" si="8"/>
        <v>11</v>
      </c>
      <c r="F57">
        <f t="shared" si="8"/>
        <v>5</v>
      </c>
      <c r="G57">
        <f t="shared" si="8"/>
        <v>10</v>
      </c>
      <c r="H57">
        <f t="shared" si="8"/>
        <v>9</v>
      </c>
      <c r="I57">
        <f t="shared" si="8"/>
        <v>9</v>
      </c>
      <c r="J57">
        <f t="shared" si="8"/>
        <v>7</v>
      </c>
      <c r="K57">
        <f t="shared" si="8"/>
        <v>3</v>
      </c>
      <c r="L57">
        <f t="shared" si="8"/>
        <v>1</v>
      </c>
      <c r="M57">
        <f t="shared" si="8"/>
        <v>3</v>
      </c>
      <c r="N57">
        <f t="shared" si="8"/>
        <v>13</v>
      </c>
      <c r="O57">
        <f t="shared" si="8"/>
        <v>8</v>
      </c>
      <c r="P57">
        <f t="shared" si="8"/>
        <v>3</v>
      </c>
      <c r="Q57">
        <f t="shared" si="8"/>
        <v>5</v>
      </c>
      <c r="R57">
        <f t="shared" si="8"/>
        <v>5</v>
      </c>
    </row>
    <row r="58" spans="1:23" x14ac:dyDescent="0.25">
      <c r="B58" s="3" t="s">
        <v>130</v>
      </c>
      <c r="C58">
        <f t="shared" ref="C58:R58" si="9">COUNTIF(C7:C56, "No Opinion")</f>
        <v>18</v>
      </c>
      <c r="D58">
        <f t="shared" si="9"/>
        <v>27</v>
      </c>
      <c r="E58">
        <f t="shared" si="9"/>
        <v>31</v>
      </c>
      <c r="F58">
        <f t="shared" si="9"/>
        <v>26</v>
      </c>
      <c r="G58">
        <f t="shared" si="9"/>
        <v>22</v>
      </c>
      <c r="H58">
        <f t="shared" si="9"/>
        <v>20</v>
      </c>
      <c r="I58">
        <f t="shared" si="9"/>
        <v>26</v>
      </c>
      <c r="J58">
        <f t="shared" si="9"/>
        <v>28</v>
      </c>
      <c r="K58">
        <f t="shared" si="9"/>
        <v>17</v>
      </c>
      <c r="L58">
        <f t="shared" si="9"/>
        <v>18</v>
      </c>
      <c r="M58">
        <f t="shared" si="9"/>
        <v>16</v>
      </c>
      <c r="N58">
        <f t="shared" si="9"/>
        <v>32</v>
      </c>
      <c r="O58">
        <f t="shared" si="9"/>
        <v>28</v>
      </c>
      <c r="P58">
        <f t="shared" si="9"/>
        <v>29</v>
      </c>
      <c r="Q58">
        <f t="shared" si="9"/>
        <v>17</v>
      </c>
      <c r="R58">
        <f t="shared" si="9"/>
        <v>28</v>
      </c>
    </row>
    <row r="59" spans="1:23" x14ac:dyDescent="0.25">
      <c r="S59">
        <f>SUM(S5:S55)</f>
        <v>291</v>
      </c>
      <c r="T59">
        <f t="shared" ref="T59:U59" si="10">SUM(T5:T55)</f>
        <v>105</v>
      </c>
      <c r="U59">
        <f t="shared" si="10"/>
        <v>404</v>
      </c>
      <c r="W59">
        <f>S59/55</f>
        <v>5.290909090909091</v>
      </c>
    </row>
    <row r="62" spans="1:23" x14ac:dyDescent="0.25">
      <c r="A62" s="19">
        <v>46096.446701516208</v>
      </c>
      <c r="B62" s="20" t="s">
        <v>134</v>
      </c>
      <c r="C62" s="20" t="s">
        <v>2</v>
      </c>
      <c r="D62" s="20" t="s">
        <v>2</v>
      </c>
      <c r="E62" s="20" t="s">
        <v>2</v>
      </c>
      <c r="F62" s="20" t="s">
        <v>2</v>
      </c>
      <c r="G62" s="20" t="s">
        <v>2</v>
      </c>
      <c r="H62" s="20" t="s">
        <v>2</v>
      </c>
      <c r="I62" s="20" t="s">
        <v>2</v>
      </c>
      <c r="J62" s="20" t="s">
        <v>2</v>
      </c>
      <c r="K62" s="20" t="s">
        <v>2</v>
      </c>
      <c r="L62" s="20" t="s">
        <v>2</v>
      </c>
      <c r="M62" s="20" t="s">
        <v>2</v>
      </c>
      <c r="N62" s="20" t="s">
        <v>2</v>
      </c>
      <c r="O62" s="20" t="s">
        <v>2</v>
      </c>
      <c r="P62" s="20" t="s">
        <v>2</v>
      </c>
      <c r="Q62" s="20" t="s">
        <v>2</v>
      </c>
      <c r="R62" s="20" t="s">
        <v>2</v>
      </c>
      <c r="S62" s="20" t="s">
        <v>2</v>
      </c>
      <c r="T62" s="20" t="s">
        <v>2</v>
      </c>
      <c r="U62" s="20" t="s">
        <v>2</v>
      </c>
      <c r="V62" s="20" t="s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Iowa Men's Fastpitch Summary</vt:lpstr>
      <vt:lpstr>RAW Data</vt:lpstr>
      <vt:lpstr>'Iowa Men''s Fastpitch Summary'!Print_Area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&amp; Carolyn</dc:creator>
  <cp:lastModifiedBy>Peterson</cp:lastModifiedBy>
  <cp:lastPrinted>2026-04-01T23:34:54Z</cp:lastPrinted>
  <dcterms:created xsi:type="dcterms:W3CDTF">2026-03-31T16:20:45Z</dcterms:created>
  <dcterms:modified xsi:type="dcterms:W3CDTF">2026-04-02T19:40:06Z</dcterms:modified>
</cp:coreProperties>
</file>